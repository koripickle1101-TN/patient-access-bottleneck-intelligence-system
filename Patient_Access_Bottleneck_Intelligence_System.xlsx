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ORKFLOW MAP" sheetId="2" state="visible" r:id="rId2"/>
    <sheet xmlns:r="http://schemas.openxmlformats.org/officeDocument/2006/relationships" name="CASE CONTROL" sheetId="3" state="visible" r:id="rId3"/>
    <sheet xmlns:r="http://schemas.openxmlformats.org/officeDocument/2006/relationships" name="ACCURACY CONTROL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EVIDENCE GUIDE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 d, yyyy"/>
    <numFmt numFmtId="166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000000"/>
      <sz val="10"/>
    </font>
    <font>
      <b val="1"/>
      <color rgb="00FFFFFF"/>
      <sz val="11"/>
    </font>
    <font>
      <b val="1"/>
      <color rgb="00FF8200"/>
    </font>
    <font>
      <b val="1"/>
    </font>
    <font>
      <b val="1"/>
      <color rgb="00000000"/>
    </font>
    <font>
      <color rgb="00000000"/>
    </font>
    <font>
      <b val="1"/>
      <color rgb="00FFFFFF"/>
    </font>
    <font>
      <name val="Aptos"/>
      <b val="1"/>
      <color rgb="00FFFFFF"/>
      <sz val="11"/>
    </font>
    <font>
      <name val="Aptos"/>
      <b val="1"/>
      <color rgb="00FF8200"/>
      <sz val="10"/>
    </font>
    <font>
      <name val="Aptos"/>
      <family val="2"/>
      <color theme="1"/>
      <sz val="11"/>
      <scheme val="minor"/>
    </font>
    <font>
      <name val="Aptos"/>
      <b val="1"/>
      <sz val="10"/>
    </font>
    <font>
      <name val="Aptos"/>
      <b val="1"/>
      <color rgb="00000000"/>
      <sz val="10"/>
    </font>
    <font>
      <name val="Aptos"/>
      <color rgb="00000000"/>
      <sz val="10"/>
    </font>
    <font>
      <name val="Aptos"/>
      <b val="1"/>
      <color rgb="00FFFFFF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F8200"/>
      </patternFill>
    </fill>
    <fill>
      <patternFill patternType="solid">
        <fgColor rgb="00FFE2BF"/>
      </patternFill>
    </fill>
  </fills>
  <borders count="2">
    <border>
      <left/>
      <right/>
      <top/>
      <bottom/>
      <diagonal/>
    </border>
    <border>
      <bottom style="medium">
        <color rgb="00FF82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0" fontId="10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2" fillId="3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13" fillId="3" borderId="1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65" fontId="14" fillId="0" borderId="0" applyAlignment="1" pivotButton="0" quotePrefix="0" xfId="0">
      <alignment vertical="top" wrapText="1"/>
    </xf>
    <xf numFmtId="165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4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top"/>
    </xf>
    <xf numFmtId="166" fontId="12" fillId="3" borderId="0" applyAlignment="1" pivotButton="0" quotePrefix="0" xfId="0">
      <alignment horizontal="center" vertical="top"/>
    </xf>
    <xf numFmtId="0" fontId="15" fillId="2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FFE2BF"/>
        </patternFill>
      </fill>
    </dxf>
    <dxf>
      <font>
        <b val="1"/>
        <color rgb="00000000"/>
      </font>
      <fill>
        <patternFill patternType="solid">
          <fgColor rgb="00FF8200"/>
        </patternFill>
      </fill>
    </dxf>
    <dxf>
      <font>
        <b val="1"/>
        <color rgb="00FF82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Cases by Workflow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'DASHBOARD'!E5</f>
            </strRef>
          </tx>
          <spPr>
            <a:solidFill xmlns:a="http://schemas.openxmlformats.org/drawingml/2006/main">
              <a:srgbClr val="FF8200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'DASHBOARD'!$D$6:$D$12</f>
            </numRef>
          </cat>
          <val>
            <numRef>
              <f>'DASHBOARD'!$E$6:$E$12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 Status Mix</a:t>
            </a:r>
          </a:p>
        </rich>
      </tx>
    </title>
    <plotArea>
      <pieChart>
        <varyColors val="1"/>
        <ser>
          <idx val="0"/>
          <order val="0"/>
          <tx>
            <strRef>
              <f>'DASHBOARD'!K5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82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82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'DASHBOARD'!$J$6:$J$9</f>
            </numRef>
          </cat>
          <val>
            <numRef>
              <f>'DASHBOARD'!$K$6:$K$9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Microsoft 365 Copilot</author>
  </authors>
  <commentList>
    <comment ref="A5" authorId="0" shapeId="0">
      <text>
        <t>All rows in this workbook are fictional and created solely for educational portfolio demonstration.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14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14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WorkflowMap" displayName="WorkflowMap" ref="A4:H11" headerRowCount="1">
  <autoFilter ref="A4:H11"/>
  <tableColumns count="8">
    <tableColumn id="1" name="Step"/>
    <tableColumn id="2" name="Workflow Stage"/>
    <tableColumn id="3" name="Expected Control"/>
    <tableColumn id="4" name="Simulated Failure"/>
    <tableColumn id="5" name="Immediate Effect"/>
    <tableColumn id="6" name="Downstream Risk"/>
    <tableColumn id="7" name="Control Response"/>
    <tableColumn id="8" name="Owner Role"/>
  </tableColumns>
  <tableStyleInfo name="TableStyleMedium9" showFirstColumn="0" showLastColumn="0" showRowStripes="0" showColumnStripes="0"/>
</table>
</file>

<file path=xl/tables/table2.xml><?xml version="1.0" encoding="utf-8"?>
<table xmlns="http://schemas.openxmlformats.org/spreadsheetml/2006/main" id="2" name="CaseControl" displayName="CaseControl" ref="A4:V34" headerRowCount="1">
  <autoFilter ref="A4:V34"/>
  <tableColumns count="22">
    <tableColumn id="1" name="Case ID"/>
    <tableColumn id="2" name="Intake Date"/>
    <tableColumn id="3" name="Workflow Stage"/>
    <tableColumn id="4" name="Issue Detected"/>
    <tableColumn id="5" name="Discrepancy Source"/>
    <tableColumn id="6" name="Downstream Risk"/>
    <tableColumn id="7" name="Assigned Owner"/>
    <tableColumn id="8" name="Priority"/>
    <tableColumn id="9" name="Priority Score"/>
    <tableColumn id="10" name="Next Action"/>
    <tableColumn id="11" name="Follow-Up Date"/>
    <tableColumn id="12" name="Days Open"/>
    <tableColumn id="13" name="Escalation Trigger"/>
    <tableColumn id="14" name="Escalation Status"/>
    <tableColumn id="15" name="Patient Communication Status"/>
    <tableColumn id="16" name="Resolution Status"/>
    <tableColumn id="17" name="Closure Date"/>
    <tableColumn id="18" name="Closure Evidence"/>
    <tableColumn id="19" name="Final Accuracy Check"/>
    <tableColumn id="20" name="Recruiter Evidence Tag"/>
    <tableColumn id="21" name="Notes"/>
    <tableColumn id="22" name="Synthetic Data Flag"/>
  </tableColumns>
  <tableStyleInfo name="TableStyleMedium9" showFirstColumn="0" showLastColumn="0" showRowStripes="0" showColumnStripes="0"/>
</table>
</file>

<file path=xl/tables/table3.xml><?xml version="1.0" encoding="utf-8"?>
<table xmlns="http://schemas.openxmlformats.org/spreadsheetml/2006/main" id="3" name="AccuracyControls" displayName="AccuracyControls" ref="A4:G14" headerRowCount="1">
  <autoFilter ref="A4:G14"/>
  <tableColumns count="7">
    <tableColumn id="1" name="#"/>
    <tableColumn id="2" name="Control Point"/>
    <tableColumn id="3" name="Validation Question"/>
    <tableColumn id="4" name="Failure if Missed"/>
    <tableColumn id="5" name="Evidence to Record"/>
    <tableColumn id="6" name="When Applied"/>
    <tableColumn id="7" name="Status"/>
  </tableColumns>
  <tableStyleInfo name="TableStyleMedium9" showFirstColumn="0" showLastColumn="0" showRowStripes="0" showColumnStripes="0"/>
</table>
</file>

<file path=xl/tables/table4.xml><?xml version="1.0" encoding="utf-8"?>
<table xmlns="http://schemas.openxmlformats.org/spreadsheetml/2006/main" id="4" name="EvidenceGuide" displayName="EvidenceGuide" ref="A4:D9" headerRowCount="1">
  <autoFilter ref="A4:D9"/>
  <tableColumns count="4">
    <tableColumn id="1" name="Evidence Area"/>
    <tableColumn id="2" name="What the Workbook Demonstrates"/>
    <tableColumn id="3" name="What Not to Claim"/>
    <tableColumn id="4" name="Recruiter / Interview Language"/>
  </tableColumns>
  <tableStyleInfo name="TableStyleMedium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92" customWidth="1" min="2" max="2"/>
    <col width="23" customWidth="1" min="3" max="3"/>
    <col width="30" customWidth="1" min="4" max="4"/>
  </cols>
  <sheetData>
    <row r="1" ht="28" customHeight="1">
      <c r="A1" s="1" t="inlineStr">
        <is>
          <t>PATIENT ACCESS BOTTLENECK INTELLIGENCE SYSTEM™</t>
        </is>
      </c>
    </row>
    <row r="2" ht="32" customHeight="1">
      <c r="A2" s="2" t="inlineStr">
        <is>
          <t>Student-developed | Simulated | Educational | No PHI | Created by Kori Pickle, BSHA Candidate</t>
        </is>
      </c>
    </row>
    <row r="3"/>
    <row r="4">
      <c r="A4" s="3" t="inlineStr">
        <is>
          <t>PROJECT PURPOSE</t>
        </is>
      </c>
    </row>
    <row r="5" ht="45" customHeight="1">
      <c r="A5" s="4" t="inlineStr">
        <is>
          <t>Purpose</t>
        </is>
      </c>
      <c r="B5" s="5" t="inlineStr">
        <is>
          <t>Trace where a simulated patient-access workflow first loses control, show the downstream consequences, and document the control actions needed to move a case from detection through verified closure.</t>
        </is>
      </c>
    </row>
    <row r="6" ht="45" customHeight="1">
      <c r="A6" s="4" t="inlineStr">
        <is>
          <t>Simulated problem</t>
        </is>
      </c>
      <c r="B6" s="5" t="inlineStr">
        <is>
          <t>An inaccurate demographic element entered during registration creates an eligibility mismatch, delays authorization readiness, disrupts financial clearance, creates staff rework, and increases patient confusion.</t>
        </is>
      </c>
    </row>
    <row r="7" ht="45" customHeight="1">
      <c r="A7" s="4" t="inlineStr">
        <is>
          <t>What this artifact demonstrates</t>
        </is>
      </c>
      <c r="B7" s="5" t="inlineStr">
        <is>
          <t>Workflow mapping, case organization, prioritization, ownership, follow-up, escalation logic, patient communication awareness, accuracy controls, closure discipline, and recruiter-facing explanation.</t>
        </is>
      </c>
    </row>
    <row r="8" ht="45" customHeight="1">
      <c r="A8" s="4" t="inlineStr">
        <is>
          <t>What this artifact does not claim</t>
        </is>
      </c>
      <c r="B8" s="5" t="inlineStr">
        <is>
          <t>No formal healthcare employment, live patient registration, payer-portal work, claims processing, EHR access, clinical decision-making, coding authority, compliance authority, or measured employer outcomes.</t>
        </is>
      </c>
    </row>
    <row r="9" ht="45" customHeight="1">
      <c r="A9" s="4" t="inlineStr">
        <is>
          <t>Integrity statement</t>
        </is>
      </c>
      <c r="B9" s="5" t="inlineStr">
        <is>
          <t>All names, identifiers, dates, payers, records, and outcomes in this workbook are fictional and created only for skills demonstration. No PHI or real operational data is used.</t>
        </is>
      </c>
    </row>
    <row r="10"/>
    <row r="11">
      <c r="A11" s="3" t="inlineStr">
        <is>
          <t>HOW TO USE THE WORKBOOK</t>
        </is>
      </c>
    </row>
    <row r="12">
      <c r="A12" s="6" t="inlineStr">
        <is>
          <t>1</t>
        </is>
      </c>
      <c r="B12" s="5" t="inlineStr">
        <is>
          <t>Review WORKFLOW MAP to understand the simulated failure path and control points.</t>
        </is>
      </c>
    </row>
    <row r="13">
      <c r="A13" s="6" t="inlineStr">
        <is>
          <t>2</t>
        </is>
      </c>
      <c r="B13" s="5" t="inlineStr">
        <is>
          <t>Use CASE CONTROL to examine case-level ownership, priority, follow-up, escalation, communication, and closure.</t>
        </is>
      </c>
    </row>
    <row r="14">
      <c r="A14" s="6" t="inlineStr">
        <is>
          <t>3</t>
        </is>
      </c>
      <c r="B14" s="5" t="inlineStr">
        <is>
          <t>Use ACCURACY CONTROLS to verify what must be checked before the case moves downstream.</t>
        </is>
      </c>
    </row>
    <row r="15">
      <c r="A15" s="6" t="inlineStr">
        <is>
          <t>4</t>
        </is>
      </c>
      <c r="B15" s="5" t="inlineStr">
        <is>
          <t>Use DASHBOARD to summarize open workload, bottleneck stage, escalations, closure, and timeliness.</t>
        </is>
      </c>
    </row>
    <row r="16">
      <c r="A16" s="6" t="inlineStr">
        <is>
          <t>5</t>
        </is>
      </c>
      <c r="B16" s="5" t="inlineStr">
        <is>
          <t>Use EVIDENCE GUIDE for résumé wording and interview talking points that remain honest and student-level.</t>
        </is>
      </c>
    </row>
    <row r="17"/>
    <row r="18">
      <c r="A18" s="3" t="inlineStr">
        <is>
          <t>COMPLETION STANDARD</t>
        </is>
      </c>
    </row>
    <row r="19">
      <c r="A19" s="4" t="inlineStr">
        <is>
          <t>☐</t>
        </is>
      </c>
      <c r="B19" s="7" t="inlineStr">
        <is>
          <t>Workflow path identifies the earliest loss of control.</t>
        </is>
      </c>
    </row>
    <row r="20">
      <c r="A20" s="4" t="inlineStr">
        <is>
          <t>☐</t>
        </is>
      </c>
      <c r="B20" s="7" t="inlineStr">
        <is>
          <t>Every simulated case has an owner, next action, follow-up date, and status.</t>
        </is>
      </c>
    </row>
    <row r="21">
      <c r="A21" s="4" t="inlineStr">
        <is>
          <t>☐</t>
        </is>
      </c>
      <c r="B21" s="7" t="inlineStr">
        <is>
          <t>Escalation logic is visible and applied consistently.</t>
        </is>
      </c>
    </row>
    <row r="22">
      <c r="A22" s="4" t="inlineStr">
        <is>
          <t>☐</t>
        </is>
      </c>
      <c r="B22" s="7" t="inlineStr">
        <is>
          <t>Patient communication status is tracked without including PHI.</t>
        </is>
      </c>
    </row>
    <row r="23">
      <c r="A23" s="4" t="inlineStr">
        <is>
          <t>☐</t>
        </is>
      </c>
      <c r="B23" s="7" t="inlineStr">
        <is>
          <t>Closure requires evidence and a final accuracy check.</t>
        </is>
      </c>
    </row>
    <row r="24">
      <c r="A24" s="4" t="inlineStr">
        <is>
          <t>☐</t>
        </is>
      </c>
      <c r="B24" s="7" t="inlineStr">
        <is>
          <t>Dashboard metrics reconcile to the case-control table.</t>
        </is>
      </c>
    </row>
  </sheetData>
  <mergeCells count="21">
    <mergeCell ref="B14:D14"/>
    <mergeCell ref="B23:D23"/>
    <mergeCell ref="A4:D4"/>
    <mergeCell ref="B8:D8"/>
    <mergeCell ref="B13:D13"/>
    <mergeCell ref="B19:D19"/>
    <mergeCell ref="B9:D9"/>
    <mergeCell ref="A11:D11"/>
    <mergeCell ref="B15:D15"/>
    <mergeCell ref="B6:D6"/>
    <mergeCell ref="B24:D24"/>
    <mergeCell ref="B20:D20"/>
    <mergeCell ref="A1:D1"/>
    <mergeCell ref="B5:D5"/>
    <mergeCell ref="B7:D7"/>
    <mergeCell ref="B16:D16"/>
    <mergeCell ref="A18:D18"/>
    <mergeCell ref="B22:D22"/>
    <mergeCell ref="B21:D21"/>
    <mergeCell ref="A2:D2"/>
    <mergeCell ref="B12:D12"/>
  </mergeCell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8" customWidth="1" min="3" max="3"/>
    <col width="30" customWidth="1" min="4" max="4"/>
    <col width="28" customWidth="1" min="5" max="5"/>
    <col width="28" customWidth="1" min="6" max="6"/>
    <col width="28" customWidth="1" min="7" max="7"/>
    <col width="26" customWidth="1" min="8" max="8"/>
  </cols>
  <sheetData>
    <row r="1" ht="28" customHeight="1">
      <c r="A1" s="1" t="inlineStr">
        <is>
          <t>WORKFLOW MAP</t>
        </is>
      </c>
    </row>
    <row r="2" ht="32" customHeight="1">
      <c r="A2" s="2" t="inlineStr">
        <is>
          <t>Simulated front-end failure path from scheduling through financial clearance and patient communication</t>
        </is>
      </c>
    </row>
    <row r="3"/>
    <row r="4">
      <c r="A4" s="8" t="inlineStr">
        <is>
          <t>Step</t>
        </is>
      </c>
      <c r="B4" s="8" t="inlineStr">
        <is>
          <t>Workflow Stage</t>
        </is>
      </c>
      <c r="C4" s="8" t="inlineStr">
        <is>
          <t>Expected Control</t>
        </is>
      </c>
      <c r="D4" s="8" t="inlineStr">
        <is>
          <t>Simulated Failure</t>
        </is>
      </c>
      <c r="E4" s="8" t="inlineStr">
        <is>
          <t>Immediate Effect</t>
        </is>
      </c>
      <c r="F4" s="8" t="inlineStr">
        <is>
          <t>Downstream Risk</t>
        </is>
      </c>
      <c r="G4" s="8" t="inlineStr">
        <is>
          <t>Control Response</t>
        </is>
      </c>
      <c r="H4" s="8" t="inlineStr">
        <is>
          <t>Owner Role</t>
        </is>
      </c>
    </row>
    <row r="5" ht="82" customHeight="1">
      <c r="A5" s="5" t="n">
        <v>1</v>
      </c>
      <c r="B5" s="5" t="inlineStr">
        <is>
          <t>Scheduling</t>
        </is>
      </c>
      <c r="C5" s="5" t="inlineStr">
        <is>
          <t>Confirm service, appointment details, and required pre-visit information.</t>
        </is>
      </c>
      <c r="D5" s="5" t="inlineStr">
        <is>
          <t>Incomplete pre-registration information is accepted.</t>
        </is>
      </c>
      <c r="E5" s="5" t="inlineStr">
        <is>
          <t>Case enters registration with unresolved data.</t>
        </is>
      </c>
      <c r="F5" s="5" t="inlineStr">
        <is>
          <t>Later verification work begins with missing information.</t>
        </is>
      </c>
      <c r="G5" s="5" t="inlineStr">
        <is>
          <t>Use a pre-registration completeness check before handoff.</t>
        </is>
      </c>
      <c r="H5" s="5" t="inlineStr">
        <is>
          <t>Scheduling support</t>
        </is>
      </c>
    </row>
    <row r="6" ht="82" customHeight="1">
      <c r="A6" s="5" t="n">
        <v>2</v>
      </c>
      <c r="B6" s="5" t="inlineStr">
        <is>
          <t>Registration</t>
        </is>
      </c>
      <c r="C6" s="5" t="inlineStr">
        <is>
          <t>Validate identity and demographic fields before submission.</t>
        </is>
      </c>
      <c r="D6" s="5" t="inlineStr">
        <is>
          <t>Street address and date-of-birth fields do not match the simulated coverage record.</t>
        </is>
      </c>
      <c r="E6" s="5" t="inlineStr">
        <is>
          <t>Registration record is internally inconsistent.</t>
        </is>
      </c>
      <c r="F6" s="5" t="inlineStr">
        <is>
          <t>Eligibility response cannot be confidently matched.</t>
        </is>
      </c>
      <c r="G6" s="5" t="inlineStr">
        <is>
          <t>Pause progression and correct the discrepancy before reverification.</t>
        </is>
      </c>
      <c r="H6" s="5" t="inlineStr">
        <is>
          <t>Patient access representative</t>
        </is>
      </c>
    </row>
    <row r="7" ht="82" customHeight="1">
      <c r="A7" s="5" t="n">
        <v>3</v>
      </c>
      <c r="B7" s="5" t="inlineStr">
        <is>
          <t>Eligibility Verification</t>
        </is>
      </c>
      <c r="C7" s="5" t="inlineStr">
        <is>
          <t>Confirm active coverage and document response details.</t>
        </is>
      </c>
      <c r="D7" s="5" t="inlineStr">
        <is>
          <t>Eligibility response returns unresolved because demographic data does not align.</t>
        </is>
      </c>
      <c r="E7" s="5" t="inlineStr">
        <is>
          <t>Coverage status remains unconfirmed.</t>
        </is>
      </c>
      <c r="F7" s="5" t="inlineStr">
        <is>
          <t>Authorization and financial-clearance work are delayed.</t>
        </is>
      </c>
      <c r="G7" s="5" t="inlineStr">
        <is>
          <t>Assign owner, record mismatch type, set next action, and schedule reverification.</t>
        </is>
      </c>
      <c r="H7" s="5" t="inlineStr">
        <is>
          <t>Eligibility representative</t>
        </is>
      </c>
    </row>
    <row r="8" ht="82" customHeight="1">
      <c r="A8" s="5" t="n">
        <v>4</v>
      </c>
      <c r="B8" s="5" t="inlineStr">
        <is>
          <t>Authorization Readiness</t>
        </is>
      </c>
      <c r="C8" s="5" t="inlineStr">
        <is>
          <t>Confirm coverage, service requirements, and documentation readiness.</t>
        </is>
      </c>
      <c r="D8" s="5" t="inlineStr">
        <is>
          <t>Authorization review cannot begin because eligibility remains unresolved.</t>
        </is>
      </c>
      <c r="E8" s="5" t="inlineStr">
        <is>
          <t>Authorization clock has not started.</t>
        </is>
      </c>
      <c r="F8" s="5" t="inlineStr">
        <is>
          <t>Service access may be delayed and staff rework increases.</t>
        </is>
      </c>
      <c r="G8" s="5" t="inlineStr">
        <is>
          <t>Escalate if eligibility is unresolved beyond the follow-up threshold.</t>
        </is>
      </c>
      <c r="H8" s="5" t="inlineStr">
        <is>
          <t>Authorization support</t>
        </is>
      </c>
    </row>
    <row r="9" ht="82" customHeight="1">
      <c r="A9" s="5" t="n">
        <v>5</v>
      </c>
      <c r="B9" s="5" t="inlineStr">
        <is>
          <t>Financial Clearance</t>
        </is>
      </c>
      <c r="C9" s="5" t="inlineStr">
        <is>
          <t>Confirm benefit information and unresolved financial questions.</t>
        </is>
      </c>
      <c r="D9" s="5" t="inlineStr">
        <is>
          <t>Clearance remains pending because coverage is not verified.</t>
        </is>
      </c>
      <c r="E9" s="5" t="inlineStr">
        <is>
          <t>Patient estimate and responsibility discussion cannot be finalized.</t>
        </is>
      </c>
      <c r="F9" s="5" t="inlineStr">
        <is>
          <t>Patient confusion and appointment disruption risk increase.</t>
        </is>
      </c>
      <c r="G9" s="5" t="inlineStr">
        <is>
          <t>Document status and coordinate a clear patient-facing update.</t>
        </is>
      </c>
      <c r="H9" s="5" t="inlineStr">
        <is>
          <t>Financial clearance support</t>
        </is>
      </c>
    </row>
    <row r="10" ht="82" customHeight="1">
      <c r="A10" s="5" t="n">
        <v>6</v>
      </c>
      <c r="B10" s="5" t="inlineStr">
        <is>
          <t>Patient Communication</t>
        </is>
      </c>
      <c r="C10" s="5" t="inlineStr">
        <is>
          <t>Provide accurate, plain-language status and next steps.</t>
        </is>
      </c>
      <c r="D10" s="5" t="inlineStr">
        <is>
          <t>Status is not communicated after the mismatch is identified.</t>
        </is>
      </c>
      <c r="E10" s="5" t="inlineStr">
        <is>
          <t>Patient does not know what action is required.</t>
        </is>
      </c>
      <c r="F10" s="5" t="inlineStr">
        <is>
          <t>Inbound calls, confusion, and missed preparation may occur.</t>
        </is>
      </c>
      <c r="G10" s="5" t="inlineStr">
        <is>
          <t>Record communication attempt, channel, outcome, and next contact date.</t>
        </is>
      </c>
      <c r="H10" s="5" t="inlineStr">
        <is>
          <t>Patient services support</t>
        </is>
      </c>
    </row>
    <row r="11" ht="82" customHeight="1">
      <c r="A11" s="5" t="n">
        <v>7</v>
      </c>
      <c r="B11" s="5" t="inlineStr">
        <is>
          <t>Closure</t>
        </is>
      </c>
      <c r="C11" s="5" t="inlineStr">
        <is>
          <t>Confirm correction, reverification, downstream handoff, and evidence.</t>
        </is>
      </c>
      <c r="D11" s="5" t="inlineStr">
        <is>
          <t>Case is marked complete without a final accuracy check.</t>
        </is>
      </c>
      <c r="E11" s="5" t="inlineStr">
        <is>
          <t>Hidden discrepancy may persist.</t>
        </is>
      </c>
      <c r="F11" s="5" t="inlineStr">
        <is>
          <t>The same failure can reappear downstream.</t>
        </is>
      </c>
      <c r="G11" s="5" t="inlineStr">
        <is>
          <t>Require closure evidence and final accuracy confirmation.</t>
        </is>
      </c>
      <c r="H11" s="5" t="inlineStr">
        <is>
          <t>Assigned case owner</t>
        </is>
      </c>
    </row>
  </sheetData>
  <mergeCells count="2">
    <mergeCell ref="A2:H2"/>
    <mergeCell ref="A1:H1"/>
  </mergeCell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4" customWidth="1" min="4" max="4"/>
    <col width="23" customWidth="1" min="5" max="5"/>
    <col width="25" customWidth="1" min="6" max="6"/>
    <col width="21" customWidth="1" min="7" max="7"/>
    <col width="14" customWidth="1" min="8" max="8"/>
    <col width="16" customWidth="1" min="9" max="9"/>
    <col width="26" customWidth="1" min="10" max="10"/>
    <col width="14" customWidth="1" min="11" max="11"/>
    <col width="17" customWidth="1" min="12" max="12"/>
    <col width="20" customWidth="1" min="13" max="13"/>
    <col width="18" customWidth="1" min="14" max="14"/>
    <col width="24" customWidth="1" min="15" max="15"/>
    <col width="15" customWidth="1" min="16" max="16"/>
    <col width="14" customWidth="1" min="17" max="17"/>
    <col width="18" customWidth="1" min="18" max="18"/>
    <col width="18" customWidth="1" min="19" max="19"/>
    <col width="20" customWidth="1" min="20" max="20"/>
    <col width="20" customWidth="1" min="21" max="21"/>
    <col width="16" customWidth="1" min="22" max="22"/>
  </cols>
  <sheetData>
    <row r="1" ht="28" customHeight="1">
      <c r="A1" s="1" t="inlineStr">
        <is>
          <t>CASE CONTROL TRACKER</t>
        </is>
      </c>
    </row>
    <row r="2" ht="32" customHeight="1">
      <c r="A2" s="2" t="inlineStr">
        <is>
          <t>Fictional case records showing detection, assignment, prioritization, follow-up, escalation, communication, and verified closure</t>
        </is>
      </c>
    </row>
    <row r="3"/>
    <row r="4">
      <c r="A4" s="8" t="inlineStr">
        <is>
          <t>Case ID</t>
        </is>
      </c>
      <c r="B4" s="8" t="inlineStr">
        <is>
          <t>Intake Date</t>
        </is>
      </c>
      <c r="C4" s="8" t="inlineStr">
        <is>
          <t>Workflow Stage</t>
        </is>
      </c>
      <c r="D4" s="8" t="inlineStr">
        <is>
          <t>Issue Detected</t>
        </is>
      </c>
      <c r="E4" s="8" t="inlineStr">
        <is>
          <t>Discrepancy Source</t>
        </is>
      </c>
      <c r="F4" s="8" t="inlineStr">
        <is>
          <t>Downstream Risk</t>
        </is>
      </c>
      <c r="G4" s="8" t="inlineStr">
        <is>
          <t>Assigned Owner</t>
        </is>
      </c>
      <c r="H4" s="8" t="inlineStr">
        <is>
          <t>Priority</t>
        </is>
      </c>
      <c r="I4" s="8" t="inlineStr">
        <is>
          <t>Priority Score</t>
        </is>
      </c>
      <c r="J4" s="8" t="inlineStr">
        <is>
          <t>Next Action</t>
        </is>
      </c>
      <c r="K4" s="8" t="inlineStr">
        <is>
          <t>Follow-Up Date</t>
        </is>
      </c>
      <c r="L4" s="8" t="inlineStr">
        <is>
          <t>Days Open</t>
        </is>
      </c>
      <c r="M4" s="8" t="inlineStr">
        <is>
          <t>Escalation Trigger</t>
        </is>
      </c>
      <c r="N4" s="8" t="inlineStr">
        <is>
          <t>Escalation Status</t>
        </is>
      </c>
      <c r="O4" s="8" t="inlineStr">
        <is>
          <t>Patient Communication Status</t>
        </is>
      </c>
      <c r="P4" s="8" t="inlineStr">
        <is>
          <t>Resolution Status</t>
        </is>
      </c>
      <c r="Q4" s="8" t="inlineStr">
        <is>
          <t>Closure Date</t>
        </is>
      </c>
      <c r="R4" s="8" t="inlineStr">
        <is>
          <t>Closure Evidence</t>
        </is>
      </c>
      <c r="S4" s="8" t="inlineStr">
        <is>
          <t>Final Accuracy Check</t>
        </is>
      </c>
      <c r="T4" s="8" t="inlineStr">
        <is>
          <t>Recruiter Evidence Tag</t>
        </is>
      </c>
      <c r="U4" s="8" t="inlineStr">
        <is>
          <t>Notes</t>
        </is>
      </c>
      <c r="V4" s="8" t="inlineStr">
        <is>
          <t>Synthetic Data Flag</t>
        </is>
      </c>
    </row>
    <row r="5" ht="48" customHeight="1">
      <c r="A5" s="9" t="inlineStr">
        <is>
          <t>PA-001</t>
        </is>
      </c>
      <c r="B5" s="10" t="n">
        <v>46296</v>
      </c>
      <c r="C5" s="9" t="inlineStr">
        <is>
          <t>Registration</t>
        </is>
      </c>
      <c r="D5" s="9" t="inlineStr">
        <is>
          <t>DOB format mismatch</t>
        </is>
      </c>
      <c r="E5" s="9" t="inlineStr">
        <is>
          <t>Registration entry</t>
        </is>
      </c>
      <c r="F5" s="9" t="inlineStr">
        <is>
          <t>Eligibility response unresolved</t>
        </is>
      </c>
      <c r="G5" s="9" t="inlineStr">
        <is>
          <t>Patient Access Rep</t>
        </is>
      </c>
      <c r="H5" s="9" t="inlineStr">
        <is>
          <t>High</t>
        </is>
      </c>
      <c r="I5" s="9">
        <f>IF(H5="Urgent",4,IF(H5="High",3,IF(H5="Medium",2,IF(H5="Low",1,""))))</f>
        <v/>
      </c>
      <c r="J5" s="9" t="inlineStr">
        <is>
          <t>Correct DOB format and re-run simulated eligibility</t>
        </is>
      </c>
      <c r="K5" s="10" t="n">
        <v>46297</v>
      </c>
      <c r="L5" s="5">
        <f>IF(B5="","",IF(Q5&lt;&gt;"",Q5-B5,TODAY()-B5))</f>
        <v/>
      </c>
      <c r="M5" s="9" t="inlineStr">
        <is>
          <t>Open &gt; 2 days or appointment within 3 days</t>
        </is>
      </c>
      <c r="N5" s="9" t="inlineStr">
        <is>
          <t>Not triggered</t>
        </is>
      </c>
      <c r="O5" s="9" t="inlineStr">
        <is>
          <t>Update sent: correction requested</t>
        </is>
      </c>
      <c r="P5" s="9" t="inlineStr">
        <is>
          <t>Closed</t>
        </is>
      </c>
      <c r="Q5" s="10" t="n">
        <v>46297</v>
      </c>
      <c r="R5" s="9" t="inlineStr">
        <is>
          <t>Corrected field + successful simulated reverification</t>
        </is>
      </c>
      <c r="S5" s="9" t="inlineStr">
        <is>
          <t>Pass</t>
        </is>
      </c>
      <c r="T5" s="9" t="inlineStr">
        <is>
          <t>Accuracy + closure</t>
        </is>
      </c>
      <c r="U5" s="9" t="inlineStr">
        <is>
          <t>Closed after reverification</t>
        </is>
      </c>
      <c r="V5" s="9" t="inlineStr">
        <is>
          <t>Synthetic</t>
        </is>
      </c>
    </row>
    <row r="6" ht="48" customHeight="1">
      <c r="A6" s="9" t="inlineStr">
        <is>
          <t>PA-002</t>
        </is>
      </c>
      <c r="B6" s="10" t="n">
        <v>46297</v>
      </c>
      <c r="C6" s="9" t="inlineStr">
        <is>
          <t>Eligibility Verification</t>
        </is>
      </c>
      <c r="D6" s="9" t="inlineStr">
        <is>
          <t>Member ID incomplete</t>
        </is>
      </c>
      <c r="E6" s="9" t="inlineStr">
        <is>
          <t>Pre-registration intake</t>
        </is>
      </c>
      <c r="F6" s="9" t="inlineStr">
        <is>
          <t>Coverage cannot be confirmed</t>
        </is>
      </c>
      <c r="G6" s="9" t="inlineStr">
        <is>
          <t>Eligibility Rep</t>
        </is>
      </c>
      <c r="H6" s="9" t="inlineStr">
        <is>
          <t>Urgent</t>
        </is>
      </c>
      <c r="I6" s="9">
        <f>IF(H6="Urgent",4,IF(H6="High",3,IF(H6="Medium",2,IF(H6="Low",1,""))))</f>
        <v/>
      </c>
      <c r="J6" s="9" t="inlineStr">
        <is>
          <t>Request missing digits and verify format</t>
        </is>
      </c>
      <c r="K6" s="10" t="n">
        <v>46297</v>
      </c>
      <c r="L6" s="5">
        <f>IF(B6="","",IF(Q6&lt;&gt;"",Q6-B6,TODAY()-B6))</f>
        <v/>
      </c>
      <c r="M6" s="9" t="inlineStr">
        <is>
          <t>Appointment within 2 days and eligibility unresolved</t>
        </is>
      </c>
      <c r="N6" s="9" t="inlineStr">
        <is>
          <t>Triggered</t>
        </is>
      </c>
      <c r="O6" s="9" t="inlineStr">
        <is>
          <t>Attempted: voicemail left</t>
        </is>
      </c>
      <c r="P6" s="9" t="inlineStr">
        <is>
          <t>Escalated</t>
        </is>
      </c>
      <c r="Q6" s="10" t="inlineStr"/>
      <c r="R6" s="9" t="inlineStr">
        <is>
          <t>Communication log + escalation note</t>
        </is>
      </c>
      <c r="S6" s="9" t="inlineStr">
        <is>
          <t>Pending</t>
        </is>
      </c>
      <c r="T6" s="9" t="inlineStr">
        <is>
          <t>Follow-up + escalation</t>
        </is>
      </c>
      <c r="U6" s="9" t="inlineStr">
        <is>
          <t>Awaiting response</t>
        </is>
      </c>
      <c r="V6" s="9" t="inlineStr">
        <is>
          <t>Synthetic</t>
        </is>
      </c>
    </row>
    <row r="7" ht="48" customHeight="1">
      <c r="A7" s="9" t="inlineStr">
        <is>
          <t>PA-003</t>
        </is>
      </c>
      <c r="B7" s="10" t="n">
        <v>46298</v>
      </c>
      <c r="C7" s="9" t="inlineStr">
        <is>
          <t>Scheduling</t>
        </is>
      </c>
      <c r="D7" s="9" t="inlineStr">
        <is>
          <t>Referral document absent</t>
        </is>
      </c>
      <c r="E7" s="9" t="inlineStr">
        <is>
          <t>Referral source handoff</t>
        </is>
      </c>
      <c r="F7" s="9" t="inlineStr">
        <is>
          <t>Registration and authorization readiness delayed</t>
        </is>
      </c>
      <c r="G7" s="9" t="inlineStr">
        <is>
          <t>Scheduling Support</t>
        </is>
      </c>
      <c r="H7" s="9" t="inlineStr">
        <is>
          <t>Medium</t>
        </is>
      </c>
      <c r="I7" s="9">
        <f>IF(H7="Urgent",4,IF(H7="High",3,IF(H7="Medium",2,IF(H7="Low",1,""))))</f>
        <v/>
      </c>
      <c r="J7" s="9" t="inlineStr">
        <is>
          <t>Request referral document from simulated source</t>
        </is>
      </c>
      <c r="K7" s="10" t="n">
        <v>46300</v>
      </c>
      <c r="L7" s="5">
        <f>IF(B7="","",IF(Q7&lt;&gt;"",Q7-B7,TODAY()-B7))</f>
        <v/>
      </c>
      <c r="M7" s="9" t="inlineStr">
        <is>
          <t>No document after two follow-up attempts</t>
        </is>
      </c>
      <c r="N7" s="9" t="inlineStr">
        <is>
          <t>Monitoring</t>
        </is>
      </c>
      <c r="O7" s="9" t="inlineStr">
        <is>
          <t>Not yet required</t>
        </is>
      </c>
      <c r="P7" s="9" t="inlineStr">
        <is>
          <t>In Progress</t>
        </is>
      </c>
      <c r="Q7" s="10" t="inlineStr"/>
      <c r="R7" s="9" t="inlineStr">
        <is>
          <t>Request log</t>
        </is>
      </c>
      <c r="S7" s="9" t="inlineStr">
        <is>
          <t>Pending</t>
        </is>
      </c>
      <c r="T7" s="9" t="inlineStr">
        <is>
          <t>Ownership + follow-up</t>
        </is>
      </c>
      <c r="U7" s="9" t="inlineStr">
        <is>
          <t>First follow-up scheduled</t>
        </is>
      </c>
      <c r="V7" s="9" t="inlineStr">
        <is>
          <t>Synthetic</t>
        </is>
      </c>
    </row>
    <row r="8" ht="48" customHeight="1">
      <c r="A8" s="9" t="inlineStr">
        <is>
          <t>PA-004</t>
        </is>
      </c>
      <c r="B8" s="10" t="n">
        <v>46299</v>
      </c>
      <c r="C8" s="9" t="inlineStr">
        <is>
          <t>Authorization Readiness</t>
        </is>
      </c>
      <c r="D8" s="9" t="inlineStr">
        <is>
          <t>Eligibility unresolved</t>
        </is>
      </c>
      <c r="E8" s="9" t="inlineStr">
        <is>
          <t>Demographic mismatch</t>
        </is>
      </c>
      <c r="F8" s="9" t="inlineStr">
        <is>
          <t>Authorization review cannot begin</t>
        </is>
      </c>
      <c r="G8" s="9" t="inlineStr">
        <is>
          <t>Authorization Support</t>
        </is>
      </c>
      <c r="H8" s="9" t="inlineStr">
        <is>
          <t>High</t>
        </is>
      </c>
      <c r="I8" s="9">
        <f>IF(H8="Urgent",4,IF(H8="High",3,IF(H8="Medium",2,IF(H8="Low",1,""))))</f>
        <v/>
      </c>
      <c r="J8" s="9" t="inlineStr">
        <is>
          <t>Coordinate correction with registration owner</t>
        </is>
      </c>
      <c r="K8" s="10" t="n">
        <v>46300</v>
      </c>
      <c r="L8" s="5">
        <f>IF(B8="","",IF(Q8&lt;&gt;"",Q8-B8,TODAY()-B8))</f>
        <v/>
      </c>
      <c r="M8" s="9" t="inlineStr">
        <is>
          <t>Unresolved &gt; 2 days</t>
        </is>
      </c>
      <c r="N8" s="9" t="inlineStr">
        <is>
          <t>Triggered</t>
        </is>
      </c>
      <c r="O8" s="9" t="inlineStr">
        <is>
          <t>Status update provided</t>
        </is>
      </c>
      <c r="P8" s="9" t="inlineStr">
        <is>
          <t>Escalated</t>
        </is>
      </c>
      <c r="Q8" s="10" t="inlineStr"/>
      <c r="R8" s="9" t="inlineStr">
        <is>
          <t>Escalation note + owner handoff</t>
        </is>
      </c>
      <c r="S8" s="9" t="inlineStr">
        <is>
          <t>Pending</t>
        </is>
      </c>
      <c r="T8" s="9" t="inlineStr">
        <is>
          <t>Cross-functional handoff</t>
        </is>
      </c>
      <c r="U8" s="9" t="inlineStr">
        <is>
          <t>Waiting on registration correction</t>
        </is>
      </c>
      <c r="V8" s="9" t="inlineStr">
        <is>
          <t>Synthetic</t>
        </is>
      </c>
    </row>
    <row r="9" ht="48" customHeight="1">
      <c r="A9" s="9" t="inlineStr">
        <is>
          <t>PA-005</t>
        </is>
      </c>
      <c r="B9" s="10" t="n">
        <v>46300</v>
      </c>
      <c r="C9" s="9" t="inlineStr">
        <is>
          <t>Financial Clearance</t>
        </is>
      </c>
      <c r="D9" s="9" t="inlineStr">
        <is>
          <t>Coverage limitation question</t>
        </is>
      </c>
      <c r="E9" s="9" t="inlineStr">
        <is>
          <t>Eligibility response review</t>
        </is>
      </c>
      <c r="F9" s="9" t="inlineStr">
        <is>
          <t>Patient responsibility cannot be finalized</t>
        </is>
      </c>
      <c r="G9" s="9" t="inlineStr">
        <is>
          <t>Financial Clearance Rep</t>
        </is>
      </c>
      <c r="H9" s="9" t="inlineStr">
        <is>
          <t>Medium</t>
        </is>
      </c>
      <c r="I9" s="9">
        <f>IF(H9="Urgent",4,IF(H9="High",3,IF(H9="Medium",2,IF(H9="Low",1,""))))</f>
        <v/>
      </c>
      <c r="J9" s="9" t="inlineStr">
        <is>
          <t>Document open question and assign verification task</t>
        </is>
      </c>
      <c r="K9" s="10" t="n">
        <v>46302</v>
      </c>
      <c r="L9" s="5">
        <f>IF(B9="","",IF(Q9&lt;&gt;"",Q9-B9,TODAY()-B9))</f>
        <v/>
      </c>
      <c r="M9" s="9" t="inlineStr">
        <is>
          <t>Question remains open 48 hours before appointment</t>
        </is>
      </c>
      <c r="N9" s="9" t="inlineStr">
        <is>
          <t>Monitoring</t>
        </is>
      </c>
      <c r="O9" s="9" t="inlineStr">
        <is>
          <t>Update planned</t>
        </is>
      </c>
      <c r="P9" s="9" t="inlineStr">
        <is>
          <t>In Progress</t>
        </is>
      </c>
      <c r="Q9" s="10" t="inlineStr"/>
      <c r="R9" s="9" t="inlineStr">
        <is>
          <t>Open-question log</t>
        </is>
      </c>
      <c r="S9" s="9" t="inlineStr">
        <is>
          <t>Pending</t>
        </is>
      </c>
      <c r="T9" s="9" t="inlineStr">
        <is>
          <t>Documentation + prioritization</t>
        </is>
      </c>
      <c r="U9" s="9" t="inlineStr">
        <is>
          <t>No estimate communicated</t>
        </is>
      </c>
      <c r="V9" s="9" t="inlineStr">
        <is>
          <t>Synthetic</t>
        </is>
      </c>
    </row>
    <row r="10" ht="48" customHeight="1">
      <c r="A10" s="9" t="inlineStr">
        <is>
          <t>PA-006</t>
        </is>
      </c>
      <c r="B10" s="10" t="n">
        <v>46301</v>
      </c>
      <c r="C10" s="9" t="inlineStr">
        <is>
          <t>Patient Communication</t>
        </is>
      </c>
      <c r="D10" s="9" t="inlineStr">
        <is>
          <t>No status update recorded</t>
        </is>
      </c>
      <c r="E10" s="9" t="inlineStr">
        <is>
          <t>Handoff failure</t>
        </is>
      </c>
      <c r="F10" s="9" t="inlineStr">
        <is>
          <t>Patient may not know next step</t>
        </is>
      </c>
      <c r="G10" s="9" t="inlineStr">
        <is>
          <t>Patient Services Rep</t>
        </is>
      </c>
      <c r="H10" s="9" t="inlineStr">
        <is>
          <t>High</t>
        </is>
      </c>
      <c r="I10" s="9">
        <f>IF(H10="Urgent",4,IF(H10="High",3,IF(H10="Medium",2,IF(H10="Low",1,""))))</f>
        <v/>
      </c>
      <c r="J10" s="9" t="inlineStr">
        <is>
          <t>Contact patient using simulated communication script</t>
        </is>
      </c>
      <c r="K10" s="10" t="n">
        <v>46301</v>
      </c>
      <c r="L10" s="5">
        <f>IF(B10="","",IF(Q10&lt;&gt;"",Q10-B10,TODAY()-B10))</f>
        <v/>
      </c>
      <c r="M10" s="9" t="inlineStr">
        <is>
          <t>No documented contact before next business day</t>
        </is>
      </c>
      <c r="N10" s="9" t="inlineStr">
        <is>
          <t>Triggered</t>
        </is>
      </c>
      <c r="O10" s="9" t="inlineStr">
        <is>
          <t>Completed: next steps explained</t>
        </is>
      </c>
      <c r="P10" s="9" t="inlineStr">
        <is>
          <t>Closed</t>
        </is>
      </c>
      <c r="Q10" s="10" t="n">
        <v>46301</v>
      </c>
      <c r="R10" s="9" t="inlineStr">
        <is>
          <t>Communication outcome documented</t>
        </is>
      </c>
      <c r="S10" s="9" t="inlineStr">
        <is>
          <t>Pass</t>
        </is>
      </c>
      <c r="T10" s="9" t="inlineStr">
        <is>
          <t>Communication + closure</t>
        </is>
      </c>
      <c r="U10" s="9" t="inlineStr">
        <is>
          <t>No PHI included</t>
        </is>
      </c>
      <c r="V10" s="9" t="inlineStr">
        <is>
          <t>Synthetic</t>
        </is>
      </c>
    </row>
    <row r="11" ht="48" customHeight="1">
      <c r="A11" s="9" t="inlineStr">
        <is>
          <t>PA-007</t>
        </is>
      </c>
      <c r="B11" s="10" t="n">
        <v>46302</v>
      </c>
      <c r="C11" s="9" t="inlineStr">
        <is>
          <t>Registration</t>
        </is>
      </c>
      <c r="D11" s="9" t="inlineStr">
        <is>
          <t>Address mismatch</t>
        </is>
      </c>
      <c r="E11" s="9" t="inlineStr">
        <is>
          <t>Registration entry</t>
        </is>
      </c>
      <c r="F11" s="9" t="inlineStr">
        <is>
          <t>Eligibility match may fail</t>
        </is>
      </c>
      <c r="G11" s="9" t="inlineStr">
        <is>
          <t>Patient Access Rep</t>
        </is>
      </c>
      <c r="H11" s="9" t="inlineStr">
        <is>
          <t>Low</t>
        </is>
      </c>
      <c r="I11" s="9">
        <f>IF(H11="Urgent",4,IF(H11="High",3,IF(H11="Medium",2,IF(H11="Low",1,""))))</f>
        <v/>
      </c>
      <c r="J11" s="9" t="inlineStr">
        <is>
          <t>Validate address formatting</t>
        </is>
      </c>
      <c r="K11" s="10" t="n">
        <v>46304</v>
      </c>
      <c r="L11" s="5">
        <f>IF(B11="","",IF(Q11&lt;&gt;"",Q11-B11,TODAY()-B11))</f>
        <v/>
      </c>
      <c r="M11" s="9" t="inlineStr">
        <is>
          <t>Still unresolved after routine follow-up</t>
        </is>
      </c>
      <c r="N11" s="9" t="inlineStr">
        <is>
          <t>Not triggered</t>
        </is>
      </c>
      <c r="O11" s="9" t="inlineStr">
        <is>
          <t>Not yet required</t>
        </is>
      </c>
      <c r="P11" s="9" t="inlineStr">
        <is>
          <t>Closed</t>
        </is>
      </c>
      <c r="Q11" s="10" t="n">
        <v>46303</v>
      </c>
      <c r="R11" s="9" t="inlineStr">
        <is>
          <t>Corrected formatting + manual review</t>
        </is>
      </c>
      <c r="S11" s="9" t="inlineStr">
        <is>
          <t>Pass</t>
        </is>
      </c>
      <c r="T11" s="9" t="inlineStr">
        <is>
          <t>Data quality</t>
        </is>
      </c>
      <c r="U11" s="9" t="inlineStr">
        <is>
          <t>Resolved before escalation</t>
        </is>
      </c>
      <c r="V11" s="9" t="inlineStr">
        <is>
          <t>Synthetic</t>
        </is>
      </c>
    </row>
    <row r="12" ht="48" customHeight="1">
      <c r="A12" s="9" t="inlineStr">
        <is>
          <t>PA-008</t>
        </is>
      </c>
      <c r="B12" s="10" t="n">
        <v>46303</v>
      </c>
      <c r="C12" s="9" t="inlineStr">
        <is>
          <t>Eligibility Verification</t>
        </is>
      </c>
      <c r="D12" s="9" t="inlineStr">
        <is>
          <t>Coverage response unclear</t>
        </is>
      </c>
      <c r="E12" s="9" t="inlineStr">
        <is>
          <t>Simulated eligibility response</t>
        </is>
      </c>
      <c r="F12" s="9" t="inlineStr">
        <is>
          <t>Authorization and clearance remain pending</t>
        </is>
      </c>
      <c r="G12" s="9" t="inlineStr">
        <is>
          <t>Eligibility Rep</t>
        </is>
      </c>
      <c r="H12" s="9" t="inlineStr">
        <is>
          <t>High</t>
        </is>
      </c>
      <c r="I12" s="9">
        <f>IF(H12="Urgent",4,IF(H12="High",3,IF(H12="Medium",2,IF(H12="Low",1,""))))</f>
        <v/>
      </c>
      <c r="J12" s="9" t="inlineStr">
        <is>
          <t>Route response for supervisor review</t>
        </is>
      </c>
      <c r="K12" s="10" t="n">
        <v>46304</v>
      </c>
      <c r="L12" s="5">
        <f>IF(B12="","",IF(Q12&lt;&gt;"",Q12-B12,TODAY()-B12))</f>
        <v/>
      </c>
      <c r="M12" s="9" t="inlineStr">
        <is>
          <t>Ambiguous response requires second review</t>
        </is>
      </c>
      <c r="N12" s="9" t="inlineStr">
        <is>
          <t>Triggered</t>
        </is>
      </c>
      <c r="O12" s="9" t="inlineStr">
        <is>
          <t>Status update provided</t>
        </is>
      </c>
      <c r="P12" s="9" t="inlineStr">
        <is>
          <t>In Progress</t>
        </is>
      </c>
      <c r="Q12" s="10" t="inlineStr"/>
      <c r="R12" s="9" t="inlineStr">
        <is>
          <t>Second-review request</t>
        </is>
      </c>
      <c r="S12" s="9" t="inlineStr">
        <is>
          <t>Pending</t>
        </is>
      </c>
      <c r="T12" s="9" t="inlineStr">
        <is>
          <t>Escalation + accuracy</t>
        </is>
      </c>
      <c r="U12" s="9" t="inlineStr">
        <is>
          <t>Awaiting second review</t>
        </is>
      </c>
      <c r="V12" s="9" t="inlineStr">
        <is>
          <t>Synthetic</t>
        </is>
      </c>
    </row>
    <row r="13" ht="48" customHeight="1">
      <c r="A13" s="9" t="inlineStr">
        <is>
          <t>PA-009</t>
        </is>
      </c>
      <c r="B13" s="10" t="n">
        <v>46304</v>
      </c>
      <c r="C13" s="9" t="inlineStr">
        <is>
          <t>Closure</t>
        </is>
      </c>
      <c r="D13" s="9" t="inlineStr">
        <is>
          <t>Closure evidence missing</t>
        </is>
      </c>
      <c r="E13" s="9" t="inlineStr">
        <is>
          <t>Case documentation</t>
        </is>
      </c>
      <c r="F13" s="9" t="inlineStr">
        <is>
          <t>Case may be closed prematurely</t>
        </is>
      </c>
      <c r="G13" s="9" t="inlineStr">
        <is>
          <t>Assigned Case Owner</t>
        </is>
      </c>
      <c r="H13" s="9" t="inlineStr">
        <is>
          <t>High</t>
        </is>
      </c>
      <c r="I13" s="9">
        <f>IF(H13="Urgent",4,IF(H13="High",3,IF(H13="Medium",2,IF(H13="Low",1,""))))</f>
        <v/>
      </c>
      <c r="J13" s="9" t="inlineStr">
        <is>
          <t>Add reverification evidence and final check</t>
        </is>
      </c>
      <c r="K13" s="10" t="n">
        <v>46305</v>
      </c>
      <c r="L13" s="5">
        <f>IF(B13="","",IF(Q13&lt;&gt;"",Q13-B13,TODAY()-B13))</f>
        <v/>
      </c>
      <c r="M13" s="9" t="inlineStr">
        <is>
          <t>Any closure without evidence</t>
        </is>
      </c>
      <c r="N13" s="9" t="inlineStr">
        <is>
          <t>Triggered</t>
        </is>
      </c>
      <c r="O13" s="9" t="inlineStr">
        <is>
          <t>Not applicable</t>
        </is>
      </c>
      <c r="P13" s="9" t="inlineStr">
        <is>
          <t>Closed</t>
        </is>
      </c>
      <c r="Q13" s="10" t="n">
        <v>46305</v>
      </c>
      <c r="R13" s="9" t="inlineStr">
        <is>
          <t>Evidence attached to simulated case record</t>
        </is>
      </c>
      <c r="S13" s="9" t="inlineStr">
        <is>
          <t>Pass</t>
        </is>
      </c>
      <c r="T13" s="9" t="inlineStr">
        <is>
          <t>Closure control</t>
        </is>
      </c>
      <c r="U13" s="9" t="inlineStr">
        <is>
          <t>Reopened then closed correctly</t>
        </is>
      </c>
      <c r="V13" s="9" t="inlineStr">
        <is>
          <t>Synthetic</t>
        </is>
      </c>
    </row>
    <row r="14" ht="48" customHeight="1">
      <c r="A14" s="9" t="inlineStr">
        <is>
          <t>PA-010</t>
        </is>
      </c>
      <c r="B14" s="10" t="n">
        <v>46305</v>
      </c>
      <c r="C14" s="9" t="inlineStr">
        <is>
          <t>Scheduling</t>
        </is>
      </c>
      <c r="D14" s="9" t="inlineStr">
        <is>
          <t>Pre-registration fields incomplete</t>
        </is>
      </c>
      <c r="E14" s="9" t="inlineStr">
        <is>
          <t>Patient intake</t>
        </is>
      </c>
      <c r="F14" s="9" t="inlineStr">
        <is>
          <t>Downstream teams receive incomplete record</t>
        </is>
      </c>
      <c r="G14" s="9" t="inlineStr">
        <is>
          <t>Scheduling Support</t>
        </is>
      </c>
      <c r="H14" s="9" t="inlineStr">
        <is>
          <t>Medium</t>
        </is>
      </c>
      <c r="I14" s="9">
        <f>IF(H14="Urgent",4,IF(H14="High",3,IF(H14="Medium",2,IF(H14="Low",1,""))))</f>
        <v/>
      </c>
      <c r="J14" s="9" t="inlineStr">
        <is>
          <t>Complete required-field checklist</t>
        </is>
      </c>
      <c r="K14" s="10" t="n">
        <v>46307</v>
      </c>
      <c r="L14" s="5">
        <f>IF(B14="","",IF(Q14&lt;&gt;"",Q14-B14,TODAY()-B14))</f>
        <v/>
      </c>
      <c r="M14" s="9" t="inlineStr">
        <is>
          <t>Incomplete fields persist after one follow-up</t>
        </is>
      </c>
      <c r="N14" s="9" t="inlineStr">
        <is>
          <t>Monitoring</t>
        </is>
      </c>
      <c r="O14" s="9" t="inlineStr">
        <is>
          <t>Attempted: secure message</t>
        </is>
      </c>
      <c r="P14" s="9" t="inlineStr">
        <is>
          <t>In Progress</t>
        </is>
      </c>
      <c r="Q14" s="10" t="inlineStr"/>
      <c r="R14" s="9" t="inlineStr">
        <is>
          <t>Checklist review</t>
        </is>
      </c>
      <c r="S14" s="9" t="inlineStr">
        <is>
          <t>Pending</t>
        </is>
      </c>
      <c r="T14" s="9" t="inlineStr">
        <is>
          <t>Completeness control</t>
        </is>
      </c>
      <c r="U14" s="9" t="inlineStr">
        <is>
          <t>Waiting on simulated response</t>
        </is>
      </c>
      <c r="V14" s="9" t="inlineStr">
        <is>
          <t>Synthetic</t>
        </is>
      </c>
    </row>
    <row r="15" ht="48" customHeight="1">
      <c r="A15" s="9" t="inlineStr">
        <is>
          <t>PA-011</t>
        </is>
      </c>
      <c r="B15" s="10" t="n">
        <v>46306</v>
      </c>
      <c r="C15" s="9" t="inlineStr">
        <is>
          <t>Financial Clearance</t>
        </is>
      </c>
      <c r="D15" s="9" t="inlineStr">
        <is>
          <t>Benefit detail not documented</t>
        </is>
      </c>
      <c r="E15" s="9" t="inlineStr">
        <is>
          <t>Verification handoff</t>
        </is>
      </c>
      <c r="F15" s="9" t="inlineStr">
        <is>
          <t>Responsibility discussion lacks support</t>
        </is>
      </c>
      <c r="G15" s="9" t="inlineStr">
        <is>
          <t>Financial Clearance Rep</t>
        </is>
      </c>
      <c r="H15" s="9" t="inlineStr">
        <is>
          <t>Medium</t>
        </is>
      </c>
      <c r="I15" s="9">
        <f>IF(H15="Urgent",4,IF(H15="High",3,IF(H15="Medium",2,IF(H15="Low",1,""))))</f>
        <v/>
      </c>
      <c r="J15" s="9" t="inlineStr">
        <is>
          <t>Request documented verification detail</t>
        </is>
      </c>
      <c r="K15" s="10" t="n">
        <v>46308</v>
      </c>
      <c r="L15" s="5">
        <f>IF(B15="","",IF(Q15&lt;&gt;"",Q15-B15,TODAY()-B15))</f>
        <v/>
      </c>
      <c r="M15" s="9" t="inlineStr">
        <is>
          <t>Appointment within 3 days</t>
        </is>
      </c>
      <c r="N15" s="9" t="inlineStr">
        <is>
          <t>Not triggered</t>
        </is>
      </c>
      <c r="O15" s="9" t="inlineStr">
        <is>
          <t>Update planned</t>
        </is>
      </c>
      <c r="P15" s="9" t="inlineStr">
        <is>
          <t>Not Started</t>
        </is>
      </c>
      <c r="Q15" s="10" t="inlineStr"/>
      <c r="R15" s="9" t="inlineStr">
        <is>
          <t>None yet</t>
        </is>
      </c>
      <c r="S15" s="9" t="inlineStr">
        <is>
          <t>Pending</t>
        </is>
      </c>
      <c r="T15" s="9" t="inlineStr">
        <is>
          <t>Documentation readiness</t>
        </is>
      </c>
      <c r="U15" s="9" t="inlineStr">
        <is>
          <t>Queued for review</t>
        </is>
      </c>
      <c r="V15" s="9" t="inlineStr">
        <is>
          <t>Synthetic</t>
        </is>
      </c>
    </row>
    <row r="16" ht="48" customHeight="1">
      <c r="A16" s="9" t="inlineStr">
        <is>
          <t>PA-012</t>
        </is>
      </c>
      <c r="B16" s="10" t="n">
        <v>46307</v>
      </c>
      <c r="C16" s="9" t="inlineStr">
        <is>
          <t>Authorization Readiness</t>
        </is>
      </c>
      <c r="D16" s="9" t="inlineStr">
        <is>
          <t>Required document incomplete</t>
        </is>
      </c>
      <c r="E16" s="9" t="inlineStr">
        <is>
          <t>Documentation intake</t>
        </is>
      </c>
      <c r="F16" s="9" t="inlineStr">
        <is>
          <t>Authorization submission not ready</t>
        </is>
      </c>
      <c r="G16" s="9" t="inlineStr">
        <is>
          <t>Authorization Support</t>
        </is>
      </c>
      <c r="H16" s="9" t="inlineStr">
        <is>
          <t>Urgent</t>
        </is>
      </c>
      <c r="I16" s="9">
        <f>IF(H16="Urgent",4,IF(H16="High",3,IF(H16="Medium",2,IF(H16="Low",1,""))))</f>
        <v/>
      </c>
      <c r="J16" s="9" t="inlineStr">
        <is>
          <t>Return incomplete document for correction</t>
        </is>
      </c>
      <c r="K16" s="10" t="n">
        <v>46308</v>
      </c>
      <c r="L16" s="5">
        <f>IF(B16="","",IF(Q16&lt;&gt;"",Q16-B16,TODAY()-B16))</f>
        <v/>
      </c>
      <c r="M16" s="9" t="inlineStr">
        <is>
          <t>Appointment within 2 days or second incomplete return</t>
        </is>
      </c>
      <c r="N16" s="9" t="inlineStr">
        <is>
          <t>Triggered</t>
        </is>
      </c>
      <c r="O16" s="9" t="inlineStr">
        <is>
          <t>Status update provided</t>
        </is>
      </c>
      <c r="P16" s="9" t="inlineStr">
        <is>
          <t>Escalated</t>
        </is>
      </c>
      <c r="Q16" s="10" t="inlineStr"/>
      <c r="R16" s="9" t="inlineStr">
        <is>
          <t>Return note + deficiency category</t>
        </is>
      </c>
      <c r="S16" s="9" t="inlineStr">
        <is>
          <t>Pending</t>
        </is>
      </c>
      <c r="T16" s="9" t="inlineStr">
        <is>
          <t>Authorization readiness</t>
        </is>
      </c>
      <c r="U16" s="9" t="inlineStr">
        <is>
          <t>No submission claimed</t>
        </is>
      </c>
      <c r="V16" s="9" t="inlineStr">
        <is>
          <t>Synthetic</t>
        </is>
      </c>
    </row>
    <row r="17">
      <c r="A17" s="9" t="inlineStr">
        <is>
          <t>PA-013</t>
        </is>
      </c>
      <c r="B17" s="11" t="n"/>
      <c r="C17" s="12" t="n"/>
      <c r="D17" s="12" t="n"/>
      <c r="E17" s="12" t="n"/>
      <c r="F17" s="12" t="n"/>
      <c r="G17" s="12" t="n"/>
      <c r="H17" s="12" t="n"/>
      <c r="I17" s="9">
        <f>IF(H17="Urgent",4,IF(H17="High",3,IF(H17="Medium",2,IF(H17="Low",1,""))))</f>
        <v/>
      </c>
      <c r="J17" s="12" t="n"/>
      <c r="K17" s="11" t="n"/>
      <c r="L17" s="5">
        <f>IF(B17="","",IF(Q17&lt;&gt;"",Q17-B17,TODAY()-B17))</f>
        <v/>
      </c>
      <c r="M17" s="12" t="n"/>
      <c r="N17" s="12" t="n"/>
      <c r="O17" s="12" t="n"/>
      <c r="P17" s="12" t="n"/>
      <c r="Q17" s="11" t="n"/>
      <c r="R17" s="12" t="n"/>
      <c r="S17" s="12" t="n"/>
      <c r="T17" s="12" t="n"/>
      <c r="U17" s="12" t="n"/>
      <c r="V17" s="9" t="inlineStr">
        <is>
          <t>Synthetic</t>
        </is>
      </c>
    </row>
    <row r="18">
      <c r="A18" s="9" t="inlineStr">
        <is>
          <t>PA-014</t>
        </is>
      </c>
      <c r="B18" s="11" t="n"/>
      <c r="C18" s="12" t="n"/>
      <c r="D18" s="12" t="n"/>
      <c r="E18" s="12" t="n"/>
      <c r="F18" s="12" t="n"/>
      <c r="G18" s="12" t="n"/>
      <c r="H18" s="12" t="n"/>
      <c r="I18" s="9">
        <f>IF(H18="Urgent",4,IF(H18="High",3,IF(H18="Medium",2,IF(H18="Low",1,""))))</f>
        <v/>
      </c>
      <c r="J18" s="12" t="n"/>
      <c r="K18" s="11" t="n"/>
      <c r="L18" s="5">
        <f>IF(B18="","",IF(Q18&lt;&gt;"",Q18-B18,TODAY()-B18))</f>
        <v/>
      </c>
      <c r="M18" s="12" t="n"/>
      <c r="N18" s="12" t="n"/>
      <c r="O18" s="12" t="n"/>
      <c r="P18" s="12" t="n"/>
      <c r="Q18" s="11" t="n"/>
      <c r="R18" s="12" t="n"/>
      <c r="S18" s="12" t="n"/>
      <c r="T18" s="12" t="n"/>
      <c r="U18" s="12" t="n"/>
      <c r="V18" s="9" t="inlineStr">
        <is>
          <t>Synthetic</t>
        </is>
      </c>
    </row>
    <row r="19">
      <c r="A19" s="9" t="inlineStr">
        <is>
          <t>PA-015</t>
        </is>
      </c>
      <c r="B19" s="11" t="n"/>
      <c r="C19" s="12" t="n"/>
      <c r="D19" s="12" t="n"/>
      <c r="E19" s="12" t="n"/>
      <c r="F19" s="12" t="n"/>
      <c r="G19" s="12" t="n"/>
      <c r="H19" s="12" t="n"/>
      <c r="I19" s="9">
        <f>IF(H19="Urgent",4,IF(H19="High",3,IF(H19="Medium",2,IF(H19="Low",1,""))))</f>
        <v/>
      </c>
      <c r="J19" s="12" t="n"/>
      <c r="K19" s="11" t="n"/>
      <c r="L19" s="5">
        <f>IF(B19="","",IF(Q19&lt;&gt;"",Q19-B19,TODAY()-B19))</f>
        <v/>
      </c>
      <c r="M19" s="12" t="n"/>
      <c r="N19" s="12" t="n"/>
      <c r="O19" s="12" t="n"/>
      <c r="P19" s="12" t="n"/>
      <c r="Q19" s="11" t="n"/>
      <c r="R19" s="12" t="n"/>
      <c r="S19" s="12" t="n"/>
      <c r="T19" s="12" t="n"/>
      <c r="U19" s="12" t="n"/>
      <c r="V19" s="9" t="inlineStr">
        <is>
          <t>Synthetic</t>
        </is>
      </c>
    </row>
    <row r="20">
      <c r="A20" s="9" t="inlineStr">
        <is>
          <t>PA-016</t>
        </is>
      </c>
      <c r="B20" s="11" t="n"/>
      <c r="C20" s="12" t="n"/>
      <c r="D20" s="12" t="n"/>
      <c r="E20" s="12" t="n"/>
      <c r="F20" s="12" t="n"/>
      <c r="G20" s="12" t="n"/>
      <c r="H20" s="12" t="n"/>
      <c r="I20" s="9">
        <f>IF(H20="Urgent",4,IF(H20="High",3,IF(H20="Medium",2,IF(H20="Low",1,""))))</f>
        <v/>
      </c>
      <c r="J20" s="12" t="n"/>
      <c r="K20" s="11" t="n"/>
      <c r="L20" s="5">
        <f>IF(B20="","",IF(Q20&lt;&gt;"",Q20-B20,TODAY()-B20))</f>
        <v/>
      </c>
      <c r="M20" s="12" t="n"/>
      <c r="N20" s="12" t="n"/>
      <c r="O20" s="12" t="n"/>
      <c r="P20" s="12" t="n"/>
      <c r="Q20" s="11" t="n"/>
      <c r="R20" s="12" t="n"/>
      <c r="S20" s="12" t="n"/>
      <c r="T20" s="12" t="n"/>
      <c r="U20" s="12" t="n"/>
      <c r="V20" s="9" t="inlineStr">
        <is>
          <t>Synthetic</t>
        </is>
      </c>
    </row>
    <row r="21">
      <c r="A21" s="9" t="inlineStr">
        <is>
          <t>PA-017</t>
        </is>
      </c>
      <c r="B21" s="11" t="n"/>
      <c r="C21" s="12" t="n"/>
      <c r="D21" s="12" t="n"/>
      <c r="E21" s="12" t="n"/>
      <c r="F21" s="12" t="n"/>
      <c r="G21" s="12" t="n"/>
      <c r="H21" s="12" t="n"/>
      <c r="I21" s="9">
        <f>IF(H21="Urgent",4,IF(H21="High",3,IF(H21="Medium",2,IF(H21="Low",1,""))))</f>
        <v/>
      </c>
      <c r="J21" s="12" t="n"/>
      <c r="K21" s="11" t="n"/>
      <c r="L21" s="5">
        <f>IF(B21="","",IF(Q21&lt;&gt;"",Q21-B21,TODAY()-B21))</f>
        <v/>
      </c>
      <c r="M21" s="12" t="n"/>
      <c r="N21" s="12" t="n"/>
      <c r="O21" s="12" t="n"/>
      <c r="P21" s="12" t="n"/>
      <c r="Q21" s="11" t="n"/>
      <c r="R21" s="12" t="n"/>
      <c r="S21" s="12" t="n"/>
      <c r="T21" s="12" t="n"/>
      <c r="U21" s="12" t="n"/>
      <c r="V21" s="9" t="inlineStr">
        <is>
          <t>Synthetic</t>
        </is>
      </c>
    </row>
    <row r="22">
      <c r="A22" s="9" t="inlineStr">
        <is>
          <t>PA-018</t>
        </is>
      </c>
      <c r="B22" s="11" t="n"/>
      <c r="C22" s="12" t="n"/>
      <c r="D22" s="12" t="n"/>
      <c r="E22" s="12" t="n"/>
      <c r="F22" s="12" t="n"/>
      <c r="G22" s="12" t="n"/>
      <c r="H22" s="12" t="n"/>
      <c r="I22" s="9">
        <f>IF(H22="Urgent",4,IF(H22="High",3,IF(H22="Medium",2,IF(H22="Low",1,""))))</f>
        <v/>
      </c>
      <c r="J22" s="12" t="n"/>
      <c r="K22" s="11" t="n"/>
      <c r="L22" s="5">
        <f>IF(B22="","",IF(Q22&lt;&gt;"",Q22-B22,TODAY()-B22))</f>
        <v/>
      </c>
      <c r="M22" s="12" t="n"/>
      <c r="N22" s="12" t="n"/>
      <c r="O22" s="12" t="n"/>
      <c r="P22" s="12" t="n"/>
      <c r="Q22" s="11" t="n"/>
      <c r="R22" s="12" t="n"/>
      <c r="S22" s="12" t="n"/>
      <c r="T22" s="12" t="n"/>
      <c r="U22" s="12" t="n"/>
      <c r="V22" s="9" t="inlineStr">
        <is>
          <t>Synthetic</t>
        </is>
      </c>
    </row>
    <row r="23">
      <c r="A23" s="9" t="inlineStr">
        <is>
          <t>PA-019</t>
        </is>
      </c>
      <c r="B23" s="11" t="n"/>
      <c r="C23" s="12" t="n"/>
      <c r="D23" s="12" t="n"/>
      <c r="E23" s="12" t="n"/>
      <c r="F23" s="12" t="n"/>
      <c r="G23" s="12" t="n"/>
      <c r="H23" s="12" t="n"/>
      <c r="I23" s="9">
        <f>IF(H23="Urgent",4,IF(H23="High",3,IF(H23="Medium",2,IF(H23="Low",1,""))))</f>
        <v/>
      </c>
      <c r="J23" s="12" t="n"/>
      <c r="K23" s="11" t="n"/>
      <c r="L23" s="5">
        <f>IF(B23="","",IF(Q23&lt;&gt;"",Q23-B23,TODAY()-B23))</f>
        <v/>
      </c>
      <c r="M23" s="12" t="n"/>
      <c r="N23" s="12" t="n"/>
      <c r="O23" s="12" t="n"/>
      <c r="P23" s="12" t="n"/>
      <c r="Q23" s="11" t="n"/>
      <c r="R23" s="12" t="n"/>
      <c r="S23" s="12" t="n"/>
      <c r="T23" s="12" t="n"/>
      <c r="U23" s="12" t="n"/>
      <c r="V23" s="9" t="inlineStr">
        <is>
          <t>Synthetic</t>
        </is>
      </c>
    </row>
    <row r="24">
      <c r="A24" s="9" t="inlineStr">
        <is>
          <t>PA-020</t>
        </is>
      </c>
      <c r="B24" s="11" t="n"/>
      <c r="C24" s="12" t="n"/>
      <c r="D24" s="12" t="n"/>
      <c r="E24" s="12" t="n"/>
      <c r="F24" s="12" t="n"/>
      <c r="G24" s="12" t="n"/>
      <c r="H24" s="12" t="n"/>
      <c r="I24" s="9">
        <f>IF(H24="Urgent",4,IF(H24="High",3,IF(H24="Medium",2,IF(H24="Low",1,""))))</f>
        <v/>
      </c>
      <c r="J24" s="12" t="n"/>
      <c r="K24" s="11" t="n"/>
      <c r="L24" s="5">
        <f>IF(B24="","",IF(Q24&lt;&gt;"",Q24-B24,TODAY()-B24))</f>
        <v/>
      </c>
      <c r="M24" s="12" t="n"/>
      <c r="N24" s="12" t="n"/>
      <c r="O24" s="12" t="n"/>
      <c r="P24" s="12" t="n"/>
      <c r="Q24" s="11" t="n"/>
      <c r="R24" s="12" t="n"/>
      <c r="S24" s="12" t="n"/>
      <c r="T24" s="12" t="n"/>
      <c r="U24" s="12" t="n"/>
      <c r="V24" s="9" t="inlineStr">
        <is>
          <t>Synthetic</t>
        </is>
      </c>
    </row>
    <row r="25">
      <c r="A25" s="9" t="inlineStr">
        <is>
          <t>PA-021</t>
        </is>
      </c>
      <c r="B25" s="11" t="n"/>
      <c r="C25" s="12" t="n"/>
      <c r="D25" s="12" t="n"/>
      <c r="E25" s="12" t="n"/>
      <c r="F25" s="12" t="n"/>
      <c r="G25" s="12" t="n"/>
      <c r="H25" s="12" t="n"/>
      <c r="I25" s="9">
        <f>IF(H25="Urgent",4,IF(H25="High",3,IF(H25="Medium",2,IF(H25="Low",1,""))))</f>
        <v/>
      </c>
      <c r="J25" s="12" t="n"/>
      <c r="K25" s="11" t="n"/>
      <c r="L25" s="5">
        <f>IF(B25="","",IF(Q25&lt;&gt;"",Q25-B25,TODAY()-B25))</f>
        <v/>
      </c>
      <c r="M25" s="12" t="n"/>
      <c r="N25" s="12" t="n"/>
      <c r="O25" s="12" t="n"/>
      <c r="P25" s="12" t="n"/>
      <c r="Q25" s="11" t="n"/>
      <c r="R25" s="12" t="n"/>
      <c r="S25" s="12" t="n"/>
      <c r="T25" s="12" t="n"/>
      <c r="U25" s="12" t="n"/>
      <c r="V25" s="9" t="inlineStr">
        <is>
          <t>Synthetic</t>
        </is>
      </c>
    </row>
    <row r="26">
      <c r="A26" s="9" t="inlineStr">
        <is>
          <t>PA-022</t>
        </is>
      </c>
      <c r="B26" s="11" t="n"/>
      <c r="C26" s="12" t="n"/>
      <c r="D26" s="12" t="n"/>
      <c r="E26" s="12" t="n"/>
      <c r="F26" s="12" t="n"/>
      <c r="G26" s="12" t="n"/>
      <c r="H26" s="12" t="n"/>
      <c r="I26" s="9">
        <f>IF(H26="Urgent",4,IF(H26="High",3,IF(H26="Medium",2,IF(H26="Low",1,""))))</f>
        <v/>
      </c>
      <c r="J26" s="12" t="n"/>
      <c r="K26" s="11" t="n"/>
      <c r="L26" s="5">
        <f>IF(B26="","",IF(Q26&lt;&gt;"",Q26-B26,TODAY()-B26))</f>
        <v/>
      </c>
      <c r="M26" s="12" t="n"/>
      <c r="N26" s="12" t="n"/>
      <c r="O26" s="12" t="n"/>
      <c r="P26" s="12" t="n"/>
      <c r="Q26" s="11" t="n"/>
      <c r="R26" s="12" t="n"/>
      <c r="S26" s="12" t="n"/>
      <c r="T26" s="12" t="n"/>
      <c r="U26" s="12" t="n"/>
      <c r="V26" s="9" t="inlineStr">
        <is>
          <t>Synthetic</t>
        </is>
      </c>
    </row>
    <row r="27">
      <c r="A27" s="9" t="inlineStr">
        <is>
          <t>PA-023</t>
        </is>
      </c>
      <c r="B27" s="11" t="n"/>
      <c r="C27" s="12" t="n"/>
      <c r="D27" s="12" t="n"/>
      <c r="E27" s="12" t="n"/>
      <c r="F27" s="12" t="n"/>
      <c r="G27" s="12" t="n"/>
      <c r="H27" s="12" t="n"/>
      <c r="I27" s="9">
        <f>IF(H27="Urgent",4,IF(H27="High",3,IF(H27="Medium",2,IF(H27="Low",1,""))))</f>
        <v/>
      </c>
      <c r="J27" s="12" t="n"/>
      <c r="K27" s="11" t="n"/>
      <c r="L27" s="5">
        <f>IF(B27="","",IF(Q27&lt;&gt;"",Q27-B27,TODAY()-B27))</f>
        <v/>
      </c>
      <c r="M27" s="12" t="n"/>
      <c r="N27" s="12" t="n"/>
      <c r="O27" s="12" t="n"/>
      <c r="P27" s="12" t="n"/>
      <c r="Q27" s="11" t="n"/>
      <c r="R27" s="12" t="n"/>
      <c r="S27" s="12" t="n"/>
      <c r="T27" s="12" t="n"/>
      <c r="U27" s="12" t="n"/>
      <c r="V27" s="9" t="inlineStr">
        <is>
          <t>Synthetic</t>
        </is>
      </c>
    </row>
    <row r="28">
      <c r="A28" s="9" t="inlineStr">
        <is>
          <t>PA-024</t>
        </is>
      </c>
      <c r="B28" s="11" t="n"/>
      <c r="C28" s="12" t="n"/>
      <c r="D28" s="12" t="n"/>
      <c r="E28" s="12" t="n"/>
      <c r="F28" s="12" t="n"/>
      <c r="G28" s="12" t="n"/>
      <c r="H28" s="12" t="n"/>
      <c r="I28" s="9">
        <f>IF(H28="Urgent",4,IF(H28="High",3,IF(H28="Medium",2,IF(H28="Low",1,""))))</f>
        <v/>
      </c>
      <c r="J28" s="12" t="n"/>
      <c r="K28" s="11" t="n"/>
      <c r="L28" s="5">
        <f>IF(B28="","",IF(Q28&lt;&gt;"",Q28-B28,TODAY()-B28))</f>
        <v/>
      </c>
      <c r="M28" s="12" t="n"/>
      <c r="N28" s="12" t="n"/>
      <c r="O28" s="12" t="n"/>
      <c r="P28" s="12" t="n"/>
      <c r="Q28" s="11" t="n"/>
      <c r="R28" s="12" t="n"/>
      <c r="S28" s="12" t="n"/>
      <c r="T28" s="12" t="n"/>
      <c r="U28" s="12" t="n"/>
      <c r="V28" s="9" t="inlineStr">
        <is>
          <t>Synthetic</t>
        </is>
      </c>
    </row>
    <row r="29">
      <c r="A29" s="9" t="inlineStr">
        <is>
          <t>PA-025</t>
        </is>
      </c>
      <c r="B29" s="11" t="n"/>
      <c r="C29" s="12" t="n"/>
      <c r="D29" s="12" t="n"/>
      <c r="E29" s="12" t="n"/>
      <c r="F29" s="12" t="n"/>
      <c r="G29" s="12" t="n"/>
      <c r="H29" s="12" t="n"/>
      <c r="I29" s="9">
        <f>IF(H29="Urgent",4,IF(H29="High",3,IF(H29="Medium",2,IF(H29="Low",1,""))))</f>
        <v/>
      </c>
      <c r="J29" s="12" t="n"/>
      <c r="K29" s="11" t="n"/>
      <c r="L29" s="5">
        <f>IF(B29="","",IF(Q29&lt;&gt;"",Q29-B29,TODAY()-B29))</f>
        <v/>
      </c>
      <c r="M29" s="12" t="n"/>
      <c r="N29" s="12" t="n"/>
      <c r="O29" s="12" t="n"/>
      <c r="P29" s="12" t="n"/>
      <c r="Q29" s="11" t="n"/>
      <c r="R29" s="12" t="n"/>
      <c r="S29" s="12" t="n"/>
      <c r="T29" s="12" t="n"/>
      <c r="U29" s="12" t="n"/>
      <c r="V29" s="9" t="inlineStr">
        <is>
          <t>Synthetic</t>
        </is>
      </c>
    </row>
    <row r="30">
      <c r="A30" s="9" t="inlineStr">
        <is>
          <t>PA-026</t>
        </is>
      </c>
      <c r="B30" s="11" t="n"/>
      <c r="C30" s="12" t="n"/>
      <c r="D30" s="12" t="n"/>
      <c r="E30" s="12" t="n"/>
      <c r="F30" s="12" t="n"/>
      <c r="G30" s="12" t="n"/>
      <c r="H30" s="12" t="n"/>
      <c r="I30" s="9">
        <f>IF(H30="Urgent",4,IF(H30="High",3,IF(H30="Medium",2,IF(H30="Low",1,""))))</f>
        <v/>
      </c>
      <c r="J30" s="12" t="n"/>
      <c r="K30" s="11" t="n"/>
      <c r="L30" s="5">
        <f>IF(B30="","",IF(Q30&lt;&gt;"",Q30-B30,TODAY()-B30))</f>
        <v/>
      </c>
      <c r="M30" s="12" t="n"/>
      <c r="N30" s="12" t="n"/>
      <c r="O30" s="12" t="n"/>
      <c r="P30" s="12" t="n"/>
      <c r="Q30" s="11" t="n"/>
      <c r="R30" s="12" t="n"/>
      <c r="S30" s="12" t="n"/>
      <c r="T30" s="12" t="n"/>
      <c r="U30" s="12" t="n"/>
      <c r="V30" s="9" t="inlineStr">
        <is>
          <t>Synthetic</t>
        </is>
      </c>
    </row>
    <row r="31">
      <c r="A31" s="9" t="inlineStr">
        <is>
          <t>PA-027</t>
        </is>
      </c>
      <c r="B31" s="11" t="n"/>
      <c r="C31" s="12" t="n"/>
      <c r="D31" s="12" t="n"/>
      <c r="E31" s="12" t="n"/>
      <c r="F31" s="12" t="n"/>
      <c r="G31" s="12" t="n"/>
      <c r="H31" s="12" t="n"/>
      <c r="I31" s="9">
        <f>IF(H31="Urgent",4,IF(H31="High",3,IF(H31="Medium",2,IF(H31="Low",1,""))))</f>
        <v/>
      </c>
      <c r="J31" s="12" t="n"/>
      <c r="K31" s="11" t="n"/>
      <c r="L31" s="5">
        <f>IF(B31="","",IF(Q31&lt;&gt;"",Q31-B31,TODAY()-B31))</f>
        <v/>
      </c>
      <c r="M31" s="12" t="n"/>
      <c r="N31" s="12" t="n"/>
      <c r="O31" s="12" t="n"/>
      <c r="P31" s="12" t="n"/>
      <c r="Q31" s="11" t="n"/>
      <c r="R31" s="12" t="n"/>
      <c r="S31" s="12" t="n"/>
      <c r="T31" s="12" t="n"/>
      <c r="U31" s="12" t="n"/>
      <c r="V31" s="9" t="inlineStr">
        <is>
          <t>Synthetic</t>
        </is>
      </c>
    </row>
    <row r="32">
      <c r="A32" s="9" t="inlineStr">
        <is>
          <t>PA-028</t>
        </is>
      </c>
      <c r="B32" s="11" t="n"/>
      <c r="C32" s="12" t="n"/>
      <c r="D32" s="12" t="n"/>
      <c r="E32" s="12" t="n"/>
      <c r="F32" s="12" t="n"/>
      <c r="G32" s="12" t="n"/>
      <c r="H32" s="12" t="n"/>
      <c r="I32" s="9">
        <f>IF(H32="Urgent",4,IF(H32="High",3,IF(H32="Medium",2,IF(H32="Low",1,""))))</f>
        <v/>
      </c>
      <c r="J32" s="12" t="n"/>
      <c r="K32" s="11" t="n"/>
      <c r="L32" s="5">
        <f>IF(B32="","",IF(Q32&lt;&gt;"",Q32-B32,TODAY()-B32))</f>
        <v/>
      </c>
      <c r="M32" s="12" t="n"/>
      <c r="N32" s="12" t="n"/>
      <c r="O32" s="12" t="n"/>
      <c r="P32" s="12" t="n"/>
      <c r="Q32" s="11" t="n"/>
      <c r="R32" s="12" t="n"/>
      <c r="S32" s="12" t="n"/>
      <c r="T32" s="12" t="n"/>
      <c r="U32" s="12" t="n"/>
      <c r="V32" s="9" t="inlineStr">
        <is>
          <t>Synthetic</t>
        </is>
      </c>
    </row>
    <row r="33">
      <c r="A33" s="9" t="inlineStr">
        <is>
          <t>PA-029</t>
        </is>
      </c>
      <c r="B33" s="11" t="n"/>
      <c r="C33" s="12" t="n"/>
      <c r="D33" s="12" t="n"/>
      <c r="E33" s="12" t="n"/>
      <c r="F33" s="12" t="n"/>
      <c r="G33" s="12" t="n"/>
      <c r="H33" s="12" t="n"/>
      <c r="I33" s="9">
        <f>IF(H33="Urgent",4,IF(H33="High",3,IF(H33="Medium",2,IF(H33="Low",1,""))))</f>
        <v/>
      </c>
      <c r="J33" s="12" t="n"/>
      <c r="K33" s="11" t="n"/>
      <c r="L33" s="5">
        <f>IF(B33="","",IF(Q33&lt;&gt;"",Q33-B33,TODAY()-B33))</f>
        <v/>
      </c>
      <c r="M33" s="12" t="n"/>
      <c r="N33" s="12" t="n"/>
      <c r="O33" s="12" t="n"/>
      <c r="P33" s="12" t="n"/>
      <c r="Q33" s="11" t="n"/>
      <c r="R33" s="12" t="n"/>
      <c r="S33" s="12" t="n"/>
      <c r="T33" s="12" t="n"/>
      <c r="U33" s="12" t="n"/>
      <c r="V33" s="9" t="inlineStr">
        <is>
          <t>Synthetic</t>
        </is>
      </c>
    </row>
    <row r="34">
      <c r="A34" s="9" t="inlineStr">
        <is>
          <t>PA-030</t>
        </is>
      </c>
      <c r="B34" s="11" t="n"/>
      <c r="C34" s="12" t="n"/>
      <c r="D34" s="12" t="n"/>
      <c r="E34" s="12" t="n"/>
      <c r="F34" s="12" t="n"/>
      <c r="G34" s="12" t="n"/>
      <c r="H34" s="12" t="n"/>
      <c r="I34" s="9">
        <f>IF(H34="Urgent",4,IF(H34="High",3,IF(H34="Medium",2,IF(H34="Low",1,""))))</f>
        <v/>
      </c>
      <c r="J34" s="12" t="n"/>
      <c r="K34" s="11" t="n"/>
      <c r="L34" s="5">
        <f>IF(B34="","",IF(Q34&lt;&gt;"",Q34-B34,TODAY()-B34))</f>
        <v/>
      </c>
      <c r="M34" s="12" t="n"/>
      <c r="N34" s="12" t="n"/>
      <c r="O34" s="12" t="n"/>
      <c r="P34" s="12" t="n"/>
      <c r="Q34" s="11" t="n"/>
      <c r="R34" s="12" t="n"/>
      <c r="S34" s="12" t="n"/>
      <c r="T34" s="12" t="n"/>
      <c r="U34" s="12" t="n"/>
      <c r="V34" s="9" t="inlineStr">
        <is>
          <t>Synthetic</t>
        </is>
      </c>
    </row>
  </sheetData>
  <mergeCells count="2">
    <mergeCell ref="A2:V2"/>
    <mergeCell ref="A1:V1"/>
  </mergeCells>
  <conditionalFormatting sqref="A5:V34">
    <cfRule type="expression" priority="1" dxfId="0">
      <formula>$P5="Escalated"</formula>
    </cfRule>
    <cfRule type="expression" priority="2" dxfId="1">
      <formula>$S5="Fail"</formula>
    </cfRule>
    <cfRule type="expression" priority="3" dxfId="2">
      <formula>AND($K5&lt;TODAY(),$P5&lt;&gt;"Closed",$B5&lt;&gt;"")</formula>
    </cfRule>
  </conditionalFormatting>
  <dataValidations count="6">
    <dataValidation sqref="H5:H34" showDropDown="0" showInputMessage="0" showErrorMessage="0" allowBlank="1" type="list">
      <formula1>"Urgent,High,Medium,Low"</formula1>
    </dataValidation>
    <dataValidation sqref="N5:N34" showDropDown="0" showInputMessage="0" showErrorMessage="0" allowBlank="1" type="list">
      <formula1>"Not triggered,Monitoring,Triggered"</formula1>
    </dataValidation>
    <dataValidation sqref="O5:O34" showDropDown="0" showInputMessage="0" showErrorMessage="0" allowBlank="1" type="list">
      <formula1>"Not yet required,Attempted: voicemail left,Attempted: secure message,Update planned,Status update provided,Update sent: correction requested,Completed: next steps explained,Not applicable"</formula1>
    </dataValidation>
    <dataValidation sqref="P5:P34" showDropDown="0" showInputMessage="0" showErrorMessage="0" allowBlank="1" type="list">
      <formula1>"Not Started,In Progress,Escalated,Closed"</formula1>
    </dataValidation>
    <dataValidation sqref="S5:S34" showDropDown="0" showInputMessage="0" showErrorMessage="0" allowBlank="1" type="list">
      <formula1>"Pending,Pass,Fail"</formula1>
    </dataValidation>
    <dataValidation sqref="V5:V34" showDropDown="0" showInputMessage="0" showErrorMessage="0" allowBlank="1" type="list">
      <formula1>"Synthetic"</formula1>
    </dataValidation>
  </dataValidation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34" customWidth="1" min="3" max="3"/>
    <col width="34" customWidth="1" min="4" max="4"/>
    <col width="25" customWidth="1" min="5" max="5"/>
    <col width="25" customWidth="1" min="6" max="6"/>
    <col width="20" customWidth="1" min="7" max="7"/>
  </cols>
  <sheetData>
    <row r="1" ht="28" customHeight="1">
      <c r="A1" s="1" t="inlineStr">
        <is>
          <t>ACCURACY CONTROLS</t>
        </is>
      </c>
    </row>
    <row r="2" ht="32" customHeight="1">
      <c r="A2" s="2" t="inlineStr">
        <is>
          <t>Control checklist for simulated patient-access records before downstream handoff or closure</t>
        </is>
      </c>
    </row>
    <row r="3"/>
    <row r="4">
      <c r="A4" s="8" t="inlineStr">
        <is>
          <t>#</t>
        </is>
      </c>
      <c r="B4" s="8" t="inlineStr">
        <is>
          <t>Control Point</t>
        </is>
      </c>
      <c r="C4" s="8" t="inlineStr">
        <is>
          <t>Validation Question</t>
        </is>
      </c>
      <c r="D4" s="8" t="inlineStr">
        <is>
          <t>Failure if Missed</t>
        </is>
      </c>
      <c r="E4" s="8" t="inlineStr">
        <is>
          <t>Evidence to Record</t>
        </is>
      </c>
      <c r="F4" s="8" t="inlineStr">
        <is>
          <t>When Applied</t>
        </is>
      </c>
      <c r="G4" s="8" t="inlineStr">
        <is>
          <t>Status</t>
        </is>
      </c>
    </row>
    <row r="5" ht="55" customHeight="1">
      <c r="A5" s="5" t="n">
        <v>1</v>
      </c>
      <c r="B5" s="5" t="inlineStr">
        <is>
          <t>Required-field completeness</t>
        </is>
      </c>
      <c r="C5" s="5" t="inlineStr">
        <is>
          <t>Are all required simulated registration fields present?</t>
        </is>
      </c>
      <c r="D5" s="5" t="inlineStr">
        <is>
          <t>Downstream work begins with missing information.</t>
        </is>
      </c>
      <c r="E5" s="5" t="inlineStr">
        <is>
          <t>Completed checklist</t>
        </is>
      </c>
      <c r="F5" s="5" t="inlineStr">
        <is>
          <t>Before eligibility verification</t>
        </is>
      </c>
      <c r="G5" s="5" t="inlineStr">
        <is>
          <t>Pass</t>
        </is>
      </c>
    </row>
    <row r="6" ht="55" customHeight="1">
      <c r="A6" s="5" t="n">
        <v>2</v>
      </c>
      <c r="B6" s="5" t="inlineStr">
        <is>
          <t>Internal consistency</t>
        </is>
      </c>
      <c r="C6" s="5" t="inlineStr">
        <is>
          <t>Do demographic fields agree within the simulated record?</t>
        </is>
      </c>
      <c r="D6" s="5" t="inlineStr">
        <is>
          <t>Mismatch may prevent confident coverage matching.</t>
        </is>
      </c>
      <c r="E6" s="5" t="inlineStr">
        <is>
          <t>Field comparison note</t>
        </is>
      </c>
      <c r="F6" s="5" t="inlineStr">
        <is>
          <t>Before eligibility verification</t>
        </is>
      </c>
      <c r="G6" s="5" t="inlineStr">
        <is>
          <t>Pass</t>
        </is>
      </c>
    </row>
    <row r="7" ht="55" customHeight="1">
      <c r="A7" s="5" t="n">
        <v>3</v>
      </c>
      <c r="B7" s="5" t="inlineStr">
        <is>
          <t>Eligibility response documentation</t>
        </is>
      </c>
      <c r="C7" s="5" t="inlineStr">
        <is>
          <t>Is the response status and unresolved question recorded?</t>
        </is>
      </c>
      <c r="D7" s="5" t="inlineStr">
        <is>
          <t>Other teams may repeat work or misread status.</t>
        </is>
      </c>
      <c r="E7" s="5" t="inlineStr">
        <is>
          <t>Response summary</t>
        </is>
      </c>
      <c r="F7" s="5" t="inlineStr">
        <is>
          <t>After eligibility check</t>
        </is>
      </c>
      <c r="G7" s="5" t="inlineStr">
        <is>
          <t>Pass</t>
        </is>
      </c>
    </row>
    <row r="8" ht="55" customHeight="1">
      <c r="A8" s="5" t="n">
        <v>4</v>
      </c>
      <c r="B8" s="5" t="inlineStr">
        <is>
          <t>Ownership assignment</t>
        </is>
      </c>
      <c r="C8" s="5" t="inlineStr">
        <is>
          <t>Does every unresolved issue have one named role owner?</t>
        </is>
      </c>
      <c r="D8" s="5" t="inlineStr">
        <is>
          <t>Issue may remain unworked between teams.</t>
        </is>
      </c>
      <c r="E8" s="5" t="inlineStr">
        <is>
          <t>Assigned owner field</t>
        </is>
      </c>
      <c r="F8" s="5" t="inlineStr">
        <is>
          <t>At issue detection</t>
        </is>
      </c>
      <c r="G8" s="5" t="inlineStr">
        <is>
          <t>Pass</t>
        </is>
      </c>
    </row>
    <row r="9" ht="55" customHeight="1">
      <c r="A9" s="5" t="n">
        <v>5</v>
      </c>
      <c r="B9" s="5" t="inlineStr">
        <is>
          <t>Next-action clarity</t>
        </is>
      </c>
      <c r="C9" s="5" t="inlineStr">
        <is>
          <t>Is the next action specific and observable?</t>
        </is>
      </c>
      <c r="D9" s="5" t="inlineStr">
        <is>
          <t>Follow-up may be delayed or duplicated.</t>
        </is>
      </c>
      <c r="E9" s="5" t="inlineStr">
        <is>
          <t>Next action field</t>
        </is>
      </c>
      <c r="F9" s="5" t="inlineStr">
        <is>
          <t>At assignment</t>
        </is>
      </c>
      <c r="G9" s="5" t="inlineStr">
        <is>
          <t>Pass</t>
        </is>
      </c>
    </row>
    <row r="10" ht="55" customHeight="1">
      <c r="A10" s="5" t="n">
        <v>6</v>
      </c>
      <c r="B10" s="5" t="inlineStr">
        <is>
          <t>Follow-up timing</t>
        </is>
      </c>
      <c r="C10" s="5" t="inlineStr">
        <is>
          <t>Is a follow-up date recorded for every open case?</t>
        </is>
      </c>
      <c r="D10" s="5" t="inlineStr">
        <is>
          <t>Open work may age without review.</t>
        </is>
      </c>
      <c r="E10" s="5" t="inlineStr">
        <is>
          <t>Follow-up date</t>
        </is>
      </c>
      <c r="F10" s="5" t="inlineStr">
        <is>
          <t>At assignment</t>
        </is>
      </c>
      <c r="G10" s="5" t="inlineStr">
        <is>
          <t>Pass</t>
        </is>
      </c>
    </row>
    <row r="11" ht="55" customHeight="1">
      <c r="A11" s="5" t="n">
        <v>7</v>
      </c>
      <c r="B11" s="5" t="inlineStr">
        <is>
          <t>Escalation logic</t>
        </is>
      </c>
      <c r="C11" s="5" t="inlineStr">
        <is>
          <t>Is the trigger visible and consistently applied?</t>
        </is>
      </c>
      <c r="D11" s="5" t="inlineStr">
        <is>
          <t>Time-sensitive cases may not receive attention.</t>
        </is>
      </c>
      <c r="E11" s="5" t="inlineStr">
        <is>
          <t>Trigger + escalation status</t>
        </is>
      </c>
      <c r="F11" s="5" t="inlineStr">
        <is>
          <t>During follow-up</t>
        </is>
      </c>
      <c r="G11" s="5" t="inlineStr">
        <is>
          <t>Pass</t>
        </is>
      </c>
    </row>
    <row r="12" ht="55" customHeight="1">
      <c r="A12" s="5" t="n">
        <v>8</v>
      </c>
      <c r="B12" s="5" t="inlineStr">
        <is>
          <t>Communication record</t>
        </is>
      </c>
      <c r="C12" s="5" t="inlineStr">
        <is>
          <t>Is patient-facing status documented without PHI?</t>
        </is>
      </c>
      <c r="D12" s="5" t="inlineStr">
        <is>
          <t>Patient may not understand required action or next step.</t>
        </is>
      </c>
      <c r="E12" s="5" t="inlineStr">
        <is>
          <t>Communication status</t>
        </is>
      </c>
      <c r="F12" s="5" t="inlineStr">
        <is>
          <t>When status affects patient</t>
        </is>
      </c>
      <c r="G12" s="5" t="inlineStr">
        <is>
          <t>Pass</t>
        </is>
      </c>
    </row>
    <row r="13" ht="55" customHeight="1">
      <c r="A13" s="5" t="n">
        <v>9</v>
      </c>
      <c r="B13" s="5" t="inlineStr">
        <is>
          <t>Closure evidence</t>
        </is>
      </c>
      <c r="C13" s="5" t="inlineStr">
        <is>
          <t>Is there evidence that the simulated discrepancy was resolved?</t>
        </is>
      </c>
      <c r="D13" s="5" t="inlineStr">
        <is>
          <t>Issue may be marked complete prematurely.</t>
        </is>
      </c>
      <c r="E13" s="5" t="inlineStr">
        <is>
          <t>Closure evidence field</t>
        </is>
      </c>
      <c r="F13" s="5" t="inlineStr">
        <is>
          <t>Before closure</t>
        </is>
      </c>
      <c r="G13" s="5" t="inlineStr">
        <is>
          <t>Pass</t>
        </is>
      </c>
    </row>
    <row r="14" ht="55" customHeight="1">
      <c r="A14" s="5" t="n">
        <v>10</v>
      </c>
      <c r="B14" s="5" t="inlineStr">
        <is>
          <t>Final accuracy check</t>
        </is>
      </c>
      <c r="C14" s="5" t="inlineStr">
        <is>
          <t>Was the record rechecked after correction?</t>
        </is>
      </c>
      <c r="D14" s="5" t="inlineStr">
        <is>
          <t>Corrected case may still contain hidden errors.</t>
        </is>
      </c>
      <c r="E14" s="5" t="inlineStr">
        <is>
          <t>Pass/fail final check</t>
        </is>
      </c>
      <c r="F14" s="5" t="inlineStr">
        <is>
          <t>At closure</t>
        </is>
      </c>
      <c r="G14" s="5" t="inlineStr">
        <is>
          <t>Pass</t>
        </is>
      </c>
    </row>
    <row r="15"/>
    <row r="16">
      <c r="A16" s="3" t="inlineStr">
        <is>
          <t>QUALITY RULE</t>
        </is>
      </c>
    </row>
    <row r="17">
      <c r="A17" s="13" t="inlineStr">
        <is>
          <t>A case cannot be represented as closed until Closure Evidence is documented and Final Accuracy Check equals Pass. This rule is educational and simulated; it does not represent an employer policy.</t>
        </is>
      </c>
    </row>
    <row r="18"/>
  </sheetData>
  <mergeCells count="4">
    <mergeCell ref="A17:G18"/>
    <mergeCell ref="A16:G16"/>
    <mergeCell ref="A2:G2"/>
    <mergeCell ref="A1:G1"/>
  </mergeCells>
  <dataValidations count="1">
    <dataValidation sqref="G5:G14" showDropDown="0" showInputMessage="0" showErrorMessage="0" allowBlank="0" type="list">
      <formula1>"Pending,Pass,Fail"</formula1>
    </dataValidation>
  </dataValidation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" customWidth="1" min="3" max="3"/>
    <col width="26" customWidth="1" min="4" max="4"/>
    <col width="18" customWidth="1" min="5" max="5"/>
    <col width="4" customWidth="1" min="6" max="6"/>
    <col width="26" customWidth="1" min="7" max="7"/>
    <col width="18" customWidth="1" min="8" max="8"/>
    <col width="4" customWidth="1" min="9" max="9"/>
    <col width="22" customWidth="1" min="10" max="10"/>
    <col width="18" customWidth="1" min="11" max="11"/>
  </cols>
  <sheetData>
    <row r="1" ht="28" customHeight="1">
      <c r="A1" s="1" t="inlineStr">
        <is>
          <t>DASHBOARD</t>
        </is>
      </c>
    </row>
    <row r="2" ht="32" customHeight="1">
      <c r="A2" s="2" t="inlineStr">
        <is>
          <t>Formula-driven summary of the simulated case-control queue</t>
        </is>
      </c>
    </row>
    <row r="3"/>
    <row r="4">
      <c r="A4" s="3" t="inlineStr">
        <is>
          <t>CASE STATUS</t>
        </is>
      </c>
    </row>
    <row r="5">
      <c r="A5" s="14" t="inlineStr">
        <is>
          <t>Total simulated cases</t>
        </is>
      </c>
      <c r="B5" s="6">
        <f>COUNTIF('CASE CONTROL'!B5:B34,"&lt;&gt;" )</f>
        <v/>
      </c>
      <c r="D5" s="8" t="inlineStr">
        <is>
          <t>Stage</t>
        </is>
      </c>
      <c r="E5" s="8" t="inlineStr">
        <is>
          <t>Open Cases</t>
        </is>
      </c>
      <c r="J5" s="8" t="inlineStr">
        <is>
          <t>Status</t>
        </is>
      </c>
      <c r="K5" s="8" t="inlineStr">
        <is>
          <t>Count</t>
        </is>
      </c>
    </row>
    <row r="6">
      <c r="A6" s="14" t="inlineStr">
        <is>
          <t>Open cases</t>
        </is>
      </c>
      <c r="B6" s="6">
        <f>COUNTIFS('CASE CONTROL'!B5:B34,"&lt;&gt;",'CASE CONTROL'!P5:P34,"&lt;&gt;Closed")</f>
        <v/>
      </c>
      <c r="D6" s="7" t="inlineStr">
        <is>
          <t>Scheduling</t>
        </is>
      </c>
      <c r="E6" s="7">
        <f>COUNTIFS('CASE CONTROL'!C5:C34,D6,'CASE CONTROL'!P5:P34,"&lt;&gt;Closed")</f>
        <v/>
      </c>
      <c r="J6" s="7" t="inlineStr">
        <is>
          <t>Not Started</t>
        </is>
      </c>
      <c r="K6" s="7">
        <f>COUNTIF('CASE CONTROL'!P5:P34,J6)</f>
        <v/>
      </c>
    </row>
    <row r="7">
      <c r="A7" s="14" t="inlineStr">
        <is>
          <t>Escalated cases</t>
        </is>
      </c>
      <c r="B7" s="6">
        <f>COUNTIF('CASE CONTROL'!P5:P34,"Escalated")</f>
        <v/>
      </c>
      <c r="D7" s="7" t="inlineStr">
        <is>
          <t>Registration</t>
        </is>
      </c>
      <c r="E7" s="7">
        <f>COUNTIFS('CASE CONTROL'!C5:C34,D7,'CASE CONTROL'!P5:P34,"&lt;&gt;Closed")</f>
        <v/>
      </c>
      <c r="J7" s="7" t="inlineStr">
        <is>
          <t>In Progress</t>
        </is>
      </c>
      <c r="K7" s="7">
        <f>COUNTIF('CASE CONTROL'!P5:P34,J7)</f>
        <v/>
      </c>
    </row>
    <row r="8">
      <c r="A8" s="14" t="inlineStr">
        <is>
          <t>Closed cases</t>
        </is>
      </c>
      <c r="B8" s="6">
        <f>COUNTIF('CASE CONTROL'!P5:P34,"Closed")</f>
        <v/>
      </c>
      <c r="D8" s="7" t="inlineStr">
        <is>
          <t>Eligibility Verification</t>
        </is>
      </c>
      <c r="E8" s="7">
        <f>COUNTIFS('CASE CONTROL'!C5:C34,D8,'CASE CONTROL'!P5:P34,"&lt;&gt;Closed")</f>
        <v/>
      </c>
      <c r="J8" s="7" t="inlineStr">
        <is>
          <t>Escalated</t>
        </is>
      </c>
      <c r="K8" s="7">
        <f>COUNTIF('CASE CONTROL'!P5:P34,J8)</f>
        <v/>
      </c>
    </row>
    <row r="9">
      <c r="A9" s="14" t="inlineStr">
        <is>
          <t>Closure rate</t>
        </is>
      </c>
      <c r="B9" s="15">
        <f>IF(B5=0,0,B8/B5)</f>
        <v/>
      </c>
      <c r="D9" s="7" t="inlineStr">
        <is>
          <t>Authorization Readiness</t>
        </is>
      </c>
      <c r="E9" s="7">
        <f>COUNTIFS('CASE CONTROL'!C5:C34,D9,'CASE CONTROL'!P5:P34,"&lt;&gt;Closed")</f>
        <v/>
      </c>
      <c r="J9" s="7" t="inlineStr">
        <is>
          <t>Closed</t>
        </is>
      </c>
      <c r="K9" s="7">
        <f>COUNTIF('CASE CONTROL'!P5:P34,J9)</f>
        <v/>
      </c>
    </row>
    <row r="10">
      <c r="A10" s="14" t="inlineStr">
        <is>
          <t>Accuracy pass at closure</t>
        </is>
      </c>
      <c r="B10" s="6">
        <f>COUNTIFS('CASE CONTROL'!P5:P34,"Closed",'CASE CONTROL'!S5:S34,"Pass")</f>
        <v/>
      </c>
      <c r="D10" s="7" t="inlineStr">
        <is>
          <t>Financial Clearance</t>
        </is>
      </c>
      <c r="E10" s="7">
        <f>COUNTIFS('CASE CONTROL'!C5:C34,D10,'CASE CONTROL'!P5:P34,"&lt;&gt;Closed")</f>
        <v/>
      </c>
    </row>
    <row r="11">
      <c r="A11" s="14" t="inlineStr">
        <is>
          <t>Overdue open follow-ups</t>
        </is>
      </c>
      <c r="B11" s="6">
        <f>COUNTIFS('CASE CONTROL'!K5:K34,"&lt;"&amp;TODAY(),'CASE CONTROL'!K5:K34,"&lt;&gt;",'CASE CONTROL'!P5:P34,"&lt;&gt;Closed")</f>
        <v/>
      </c>
      <c r="D11" s="7" t="inlineStr">
        <is>
          <t>Patient Communication</t>
        </is>
      </c>
      <c r="E11" s="7">
        <f>COUNTIFS('CASE CONTROL'!C5:C34,D11,'CASE CONTROL'!P5:P34,"&lt;&gt;Closed")</f>
        <v/>
      </c>
    </row>
    <row r="12">
      <c r="A12" s="14" t="inlineStr">
        <is>
          <t>Urgent open cases</t>
        </is>
      </c>
      <c r="B12" s="6">
        <f>COUNTIFS('CASE CONTROL'!H5:H34,"Urgent",'CASE CONTROL'!P5:P34,"&lt;&gt;Closed")</f>
        <v/>
      </c>
      <c r="D12" s="7" t="inlineStr">
        <is>
          <t>Closure</t>
        </is>
      </c>
      <c r="E12" s="7">
        <f>COUNTIFS('CASE CONTROL'!C5:C34,D12,'CASE CONTROL'!P5:P34,"&lt;&gt;Closed")</f>
        <v/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A30" s="3" t="inlineStr">
        <is>
          <t>INTERPRETATION PROMPTS</t>
        </is>
      </c>
    </row>
    <row r="31">
      <c r="A31" s="5" t="inlineStr">
        <is>
          <t>• Which workflow stage currently contains the most unresolved simulated cases?</t>
        </is>
      </c>
    </row>
    <row r="32">
      <c r="A32" s="5" t="inlineStr">
        <is>
          <t>• Which cases require escalation because time or proximity to appointment increases risk?</t>
        </is>
      </c>
    </row>
    <row r="33">
      <c r="A33" s="5" t="inlineStr">
        <is>
          <t>• Are closed cases supported by closure evidence and a passing final accuracy check?</t>
        </is>
      </c>
    </row>
    <row r="34">
      <c r="A34" s="5" t="inlineStr">
        <is>
          <t>• What upstream control would prevent the largest share of downstream rework?</t>
        </is>
      </c>
    </row>
  </sheetData>
  <mergeCells count="8">
    <mergeCell ref="A34:K34"/>
    <mergeCell ref="A4:K4"/>
    <mergeCell ref="A30:K30"/>
    <mergeCell ref="A2:K2"/>
    <mergeCell ref="A33:K33"/>
    <mergeCell ref="A32:K32"/>
    <mergeCell ref="A1:K1"/>
    <mergeCell ref="A31:K31"/>
  </mergeCell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48" customWidth="1" min="3" max="3"/>
    <col width="48" customWidth="1" min="4" max="4"/>
  </cols>
  <sheetData>
    <row r="1" ht="28" customHeight="1">
      <c r="A1" s="1" t="inlineStr">
        <is>
          <t>EVIDENCE GUIDE</t>
        </is>
      </c>
    </row>
    <row r="2" ht="32" customHeight="1">
      <c r="A2" s="2" t="inlineStr">
        <is>
          <t>Translate the artifact into honest recruiter-facing proof without implying professional healthcare employment</t>
        </is>
      </c>
    </row>
    <row r="3"/>
    <row r="4">
      <c r="A4" s="8" t="inlineStr">
        <is>
          <t>Evidence Area</t>
        </is>
      </c>
      <c r="B4" s="8" t="inlineStr">
        <is>
          <t>What the Workbook Demonstrates</t>
        </is>
      </c>
      <c r="C4" s="8" t="inlineStr">
        <is>
          <t>What Not to Claim</t>
        </is>
      </c>
      <c r="D4" s="8" t="inlineStr">
        <is>
          <t>Recruiter / Interview Language</t>
        </is>
      </c>
    </row>
    <row r="5" ht="90" customHeight="1">
      <c r="A5" s="5" t="inlineStr">
        <is>
          <t>Workflow mapping</t>
        </is>
      </c>
      <c r="B5" s="5" t="inlineStr">
        <is>
          <t>Traces a simulated registration-to-eligibility failure path and identifies downstream effects.</t>
        </is>
      </c>
      <c r="C5" s="5" t="inlineStr">
        <is>
          <t>Do not claim live registration, payer access, or employer process redesign.</t>
        </is>
      </c>
      <c r="D5" s="5" t="inlineStr">
        <is>
          <t>I mapped how a front-end data discrepancy can affect eligibility, authorization readiness, financial clearance, staff rework, and patient understanding.</t>
        </is>
      </c>
    </row>
    <row r="6" ht="90" customHeight="1">
      <c r="A6" s="5" t="inlineStr">
        <is>
          <t>Case control</t>
        </is>
      </c>
      <c r="B6" s="5" t="inlineStr">
        <is>
          <t>Organizes fictional cases by owner, priority, next action, follow-up, escalation, communication, resolution, and closure.</t>
        </is>
      </c>
      <c r="C6" s="5" t="inlineStr">
        <is>
          <t>Do not claim production work-queue management.</t>
        </is>
      </c>
      <c r="D6" s="5" t="inlineStr">
        <is>
          <t>I built a simulated case-control tracker to practice assigning ownership, prioritizing follow-up, documenting escalation, and verifying closure.</t>
        </is>
      </c>
    </row>
    <row r="7" ht="90" customHeight="1">
      <c r="A7" s="5" t="inlineStr">
        <is>
          <t>Accuracy controls</t>
        </is>
      </c>
      <c r="B7" s="5" t="inlineStr">
        <is>
          <t>Uses explicit completeness, consistency, documentation, ownership, closure, and final-check controls.</t>
        </is>
      </c>
      <c r="C7" s="5" t="inlineStr">
        <is>
          <t>Do not claim employer compliance authority or error-reduction results.</t>
        </is>
      </c>
      <c r="D7" s="5" t="inlineStr">
        <is>
          <t>I used defined accuracy controls so a simulated case could not be considered complete without resolution evidence and a final check.</t>
        </is>
      </c>
    </row>
    <row r="8" ht="90" customHeight="1">
      <c r="A8" s="5" t="inlineStr">
        <is>
          <t>Patient communication awareness</t>
        </is>
      </c>
      <c r="B8" s="5" t="inlineStr">
        <is>
          <t>Tracks whether an understandable status update or next step was recorded.</t>
        </is>
      </c>
      <c r="C8" s="5" t="inlineStr">
        <is>
          <t>Do not claim live patient calls or protected-information handling.</t>
        </is>
      </c>
      <c r="D8" s="5" t="inlineStr">
        <is>
          <t>The project helped me connect workflow status with the patient’s need for a clear, timely explanation of next steps.</t>
        </is>
      </c>
    </row>
    <row r="9" ht="90" customHeight="1">
      <c r="A9" s="5" t="inlineStr">
        <is>
          <t>Dashboard interpretation</t>
        </is>
      </c>
      <c r="B9" s="5" t="inlineStr">
        <is>
          <t>Summarizes fictional workload, bottleneck stage, escalations, closure, and overdue follow-up.</t>
        </is>
      </c>
      <c r="C9" s="5" t="inlineStr">
        <is>
          <t>Do not claim real operational metrics or performance improvement.</t>
        </is>
      </c>
      <c r="D9" s="5" t="inlineStr">
        <is>
          <t>I used a formula-driven dashboard to identify where simulated work was accumulating and which cases needed attention.</t>
        </is>
      </c>
    </row>
    <row r="10"/>
    <row r="11">
      <c r="A11" s="3" t="inlineStr">
        <is>
          <t>RECRUITER-FACING RESUME BULLET</t>
        </is>
      </c>
    </row>
    <row r="12">
      <c r="A12" s="13" t="inlineStr">
        <is>
          <t>Built a simulated, no-PHI patient-access workflow map and case-control tracker connecting registration inaccuracies with eligibility mismatches, authorization delays, assigned follow-up, escalation triggers, patient communication, and verified closure.</t>
        </is>
      </c>
    </row>
    <row r="13"/>
    <row r="14"/>
    <row r="15">
      <c r="A15" s="3" t="inlineStr">
        <is>
          <t>60-SECOND INTERVIEW EXPLANATION</t>
        </is>
      </c>
    </row>
    <row r="16">
      <c r="A16" s="5" t="inlineStr">
        <is>
          <t>I created this student-developed, simulated project to understand where a patient-access workflow can first lose control. I mapped how inaccurate registration information can create an eligibility mismatch, delay authorization readiness and financial clearance, increase staff rework, and confuse the patient. I then added a case-control tracker with ownership, priority, follow-up dates, escalation triggers, communication status, closure evidence, and a final accuracy check. The project did not use PHI or live healthcare systems, but it helped me practice the workflow discipline, documentation, and follow-through that entry-level patient-access teams need.</t>
        </is>
      </c>
    </row>
    <row r="17"/>
    <row r="18"/>
    <row r="19"/>
    <row r="20"/>
    <row r="21"/>
    <row r="22">
      <c r="A22" s="3" t="inlineStr">
        <is>
          <t>PORTFOLIO DISCLAIMER</t>
        </is>
      </c>
    </row>
    <row r="23">
      <c r="A23" s="16" t="inlineStr">
        <is>
          <t>Created by Kori Pickle, BSHA Candidate, University of Phoenix. This project is educational, student-developed, simulated, and no-PHI. It does not use employer data, payer data, claims data, EHR data, authorization records, or real patient information, and it does not represent formal healthcare employment or measured operational outcomes.</t>
        </is>
      </c>
    </row>
    <row r="24"/>
    <row r="25"/>
  </sheetData>
  <mergeCells count="8">
    <mergeCell ref="A1:D1"/>
    <mergeCell ref="A22:D22"/>
    <mergeCell ref="A12:D13"/>
    <mergeCell ref="A15:D15"/>
    <mergeCell ref="A16:D20"/>
    <mergeCell ref="A2:D2"/>
    <mergeCell ref="A11:D11"/>
    <mergeCell ref="A23:D25"/>
  </mergeCells>
  <pageMargins left="0.75" right="0.75" top="1" bottom="1" header="0.5" footer="0.5"/>
  <pageSetup fitToHeight="0" fitToWidth="1"/>
  <headerFooter>
    <oddHeader/>
    <oddFooter>&amp;C&amp;8 &amp;K000000Student-developed | Simulated | Educational | No PHI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M365 Copilot</dc:creator>
  <dcterms:created xsi:type="dcterms:W3CDTF">2026-10-23T09:39:43.7581058Z</dcterms:created>
  <dcterms:modified xsi:type="dcterms:W3CDTF">2026-10-23T09:39:43.7581058Z</dcterms:modified>
  <lastModifiedBy>M365 Copilot</lastModifiedBy>
</coreProperties>
</file>