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xr:revisionPtr revIDLastSave="0" documentId="8_{7452E1C1-E167-2343-A6B8-B9F6BDF04710}" xr6:coauthVersionLast="47" xr6:coauthVersionMax="47" xr10:uidLastSave="{00000000-0000-0000-0000-000000000000}"/>
  <bookViews>
    <workbookView xWindow="0" yWindow="0" windowWidth="0" windowHeight="0" xr2:uid="{00000000-000D-0000-FFFF-FFFF00000000}"/>
  </bookViews>
  <sheets>
    <sheet name="START HERE" sheetId="1" r:id="rId1"/>
    <sheet name="WORKFLOW MAP" sheetId="2" r:id="rId2"/>
    <sheet name="CASE CONTROL" sheetId="3" r:id="rId3"/>
    <sheet name="ACCURACY CONTROLS" sheetId="4" r:id="rId4"/>
    <sheet name="RISK MATRIX" sheetId="5" r:id="rId5"/>
    <sheet name="DASHBOARD" sheetId="6" r:id="rId6"/>
    <sheet name="GLOSSARY" sheetId="7" r:id="rId7"/>
    <sheet name="EVIDENCE GUIDE" sheetId="8" r:id="rId8"/>
  </sheets>
  <definedNames>
    <definedName name="_xlnm._FilterDatabase" localSheetId="1" hidden="1">'WORKFLOW MAP'!$A$4:$H$12</definedName>
    <definedName name="_xlnm._FilterDatabase" localSheetId="2" hidden="1">'CASE CONTROL'!$A$4:$T$16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6" l="1"/>
  <c r="B11" i="6"/>
  <c r="E10" i="6"/>
  <c r="B10" i="6"/>
  <c r="E9" i="6"/>
  <c r="B9" i="6"/>
  <c r="E8" i="6"/>
  <c r="B8" i="6"/>
  <c r="E7" i="6"/>
  <c r="B7" i="6"/>
  <c r="E6" i="6"/>
  <c r="B6" i="6"/>
  <c r="B5" i="6"/>
  <c r="L16" i="3"/>
  <c r="I16" i="3"/>
  <c r="L15" i="3"/>
  <c r="I15" i="3"/>
  <c r="L14" i="3"/>
  <c r="I14" i="3"/>
  <c r="L13" i="3"/>
  <c r="I13" i="3"/>
  <c r="L12" i="3"/>
  <c r="I12" i="3"/>
  <c r="L11" i="3"/>
  <c r="I11" i="3"/>
  <c r="L10" i="3"/>
  <c r="I10" i="3"/>
  <c r="L9" i="3"/>
  <c r="I9" i="3"/>
  <c r="L8" i="3"/>
  <c r="I8" i="3"/>
  <c r="L7" i="3"/>
  <c r="I7" i="3"/>
  <c r="L6" i="3"/>
  <c r="I6" i="3"/>
  <c r="L5" i="3"/>
  <c r="I5" i="3"/>
</calcChain>
</file>

<file path=xl/sharedStrings.xml><?xml version="1.0" encoding="utf-8"?>
<sst xmlns="http://schemas.openxmlformats.org/spreadsheetml/2006/main" count="481" uniqueCount="363">
  <si>
    <t>PATIENT ACCESS BOTTLENECK INTELLIGENCE SYSTEM™</t>
  </si>
  <si>
    <t>Student-developed · Simulated · Educational · No PHI</t>
  </si>
  <si>
    <t>Student: Kori Pickle  ·  BSHA Candidate, University of Phoenix  ·  Degree in progress  ·  No formal healthcare employment</t>
  </si>
  <si>
    <t>STUDENT</t>
  </si>
  <si>
    <t>Name</t>
  </si>
  <si>
    <t>Kori Pickle</t>
  </si>
  <si>
    <t>Program</t>
  </si>
  <si>
    <t>Bachelor of Science in Healthcare Administration (in progress), University of Phoenix</t>
  </si>
  <si>
    <t>Status</t>
  </si>
  <si>
    <t>Undergraduate student · No formal healthcare employment experience</t>
  </si>
  <si>
    <t>PROJECT PURPOSE</t>
  </si>
  <si>
    <t>Purpose</t>
  </si>
  <si>
    <t>Trace where a simulated patient-access workflow first loses control, show the downstream effect, and practice the controls needed to restore the case.</t>
  </si>
  <si>
    <t>Simulated problem</t>
  </si>
  <si>
    <t>An inaccurate demographic element entered during registration creates an eligibility mismatch. That mismatch delays authorization readiness, financial clearance, patient communication, and verified closure.</t>
  </si>
  <si>
    <t>What this artifact demonstrates</t>
  </si>
  <si>
    <t>Workflow mapping, case organization, prioritization, ownership assignment, follow-up logic, escalation rules, accuracy controls, patient-communication status tracking, and formula-driven dashboard interpretation.</t>
  </si>
  <si>
    <t>What this artifact does not claim</t>
  </si>
  <si>
    <t>No formal healthcare employment, live patient registration, payer-portal work, EHR access, measured operational results, or professional compliance authority.</t>
  </si>
  <si>
    <t>Integrity statement</t>
  </si>
  <si>
    <t>All names, identifiers, dates, payers, records, and outcomes in this workbook are synthetic. No real patient, payer, or employer data is used.</t>
  </si>
  <si>
    <t>HOW TO USE THE WORKBOOK</t>
  </si>
  <si>
    <t>Review WORKFLOW MAP to understand the simulated failure path and the control that should have stopped it.</t>
  </si>
  <si>
    <t>Use CASE CONTROL to examine ownership, priority, next action, follow-up, escalation, communication, and closure for each simulated case.</t>
  </si>
  <si>
    <t>Use ACCURACY CONTROLS to verify what must be checked before a case moves downstream or is closed.</t>
  </si>
  <si>
    <t>Use RISK MATRIX to see which failure types carry higher downstream impact and how they are prioritized.</t>
  </si>
  <si>
    <t>Use DASHBOARD to summarize open workload, bottleneck stage, escalations, overdue follow-ups, and closure status.</t>
  </si>
  <si>
    <t>Use GLOSSARY for plain-language definitions of the terms used in the workbook.</t>
  </si>
  <si>
    <t>Use EVIDENCE GUIDE for résumé wording and interview talking points that stay within honest student boundaries.</t>
  </si>
  <si>
    <t>COMPLETION STANDARD</t>
  </si>
  <si>
    <t>☐</t>
  </si>
  <si>
    <t>Workflow path identifies the earliest loss of control.</t>
  </si>
  <si>
    <t>Every simulated case has an owner, next action, follow-up date, and status.</t>
  </si>
  <si>
    <t>Escalation logic is visible and applied consistently.</t>
  </si>
  <si>
    <t>Patient communication status is tracked without including PHI.</t>
  </si>
  <si>
    <t>Closure requires documented evidence and a final accuracy check.</t>
  </si>
  <si>
    <t>Dashboard metrics reconcile to the case-control table.</t>
  </si>
  <si>
    <t>Risk rating is assigned and visible for each open case.</t>
  </si>
  <si>
    <t>WORKFLOW MAP</t>
  </si>
  <si>
    <t>Simulated front-end failure path from scheduling through verified closure. Each row shows the expected control, the simulated failure, and the response that restores control.</t>
  </si>
  <si>
    <t>Step</t>
  </si>
  <si>
    <t>Workflow Stage</t>
  </si>
  <si>
    <t>Expected Control</t>
  </si>
  <si>
    <t>Simulated Failure</t>
  </si>
  <si>
    <t>Immediate Effect</t>
  </si>
  <si>
    <t>Downstream Risk</t>
  </si>
  <si>
    <t>Control Response</t>
  </si>
  <si>
    <t>Owner Role</t>
  </si>
  <si>
    <t>Scheduling</t>
  </si>
  <si>
    <t>Confirm service, appointment details, and required pre-visit information before the case is handed off.</t>
  </si>
  <si>
    <t>Incomplete pre-registration information is accepted.</t>
  </si>
  <si>
    <t>Case enters registration with unresolved data.</t>
  </si>
  <si>
    <t>Later verification work begins with missing information and higher rework.</t>
  </si>
  <si>
    <t>Use a pre-registration completeness check before handoff.</t>
  </si>
  <si>
    <t>Scheduling support</t>
  </si>
  <si>
    <t>Registration</t>
  </si>
  <si>
    <t>Validate identity and key demographic fields before the record is submitted.</t>
  </si>
  <si>
    <t>Street address and date-of-birth fields do not match the simulated coverage record.</t>
  </si>
  <si>
    <t>Registration record is internally inconsistent.</t>
  </si>
  <si>
    <t>Eligibility response cannot be confidently matched.</t>
  </si>
  <si>
    <t>Pause progression and correct the discrepancy before reverification.</t>
  </si>
  <si>
    <t>Patient access representative</t>
  </si>
  <si>
    <t>Eligibility Verification</t>
  </si>
  <si>
    <t>Confirm active coverage, document the response, and flag any mismatch type.</t>
  </si>
  <si>
    <t>Eligibility response returns unresolved because demographic data does not align.</t>
  </si>
  <si>
    <t>Coverage status remains unconfirmed.</t>
  </si>
  <si>
    <t>Authorization and financial-clearance work are delayed.</t>
  </si>
  <si>
    <t>Assign owner, record mismatch type, set next action, and schedule reverification.</t>
  </si>
  <si>
    <t>Eligibility representative</t>
  </si>
  <si>
    <t>Authorization Readiness</t>
  </si>
  <si>
    <t>Confirm coverage is verified, service requirements are known, and supporting documentation is present.</t>
  </si>
  <si>
    <t>Authorization review cannot begin because eligibility remains unresolved.</t>
  </si>
  <si>
    <t>Authorization clock has not started.</t>
  </si>
  <si>
    <t>Service access may be delayed and staff rework increases.</t>
  </si>
  <si>
    <t>Escalate if eligibility is unresolved beyond the follow-up threshold.</t>
  </si>
  <si>
    <t>Authorization support</t>
  </si>
  <si>
    <t>Financial Clearance</t>
  </si>
  <si>
    <t>Confirm benefit information and resolve open financial questions before the patient estimate is finalized.</t>
  </si>
  <si>
    <t>Clearance remains pending because coverage is not verified.</t>
  </si>
  <si>
    <t>Patient estimate and responsibility discussion cannot be finalized.</t>
  </si>
  <si>
    <t>Patient confusion and appointment disruption risk increase.</t>
  </si>
  <si>
    <t>Document the open question and coordinate a clear patient-facing update.</t>
  </si>
  <si>
    <t>Financial clearance support</t>
  </si>
  <si>
    <t>Patient Communication</t>
  </si>
  <si>
    <t>Provide accurate, plain-language status and the next step the patient can expect.</t>
  </si>
  <si>
    <t>Status is not communicated after the mismatch is identified.</t>
  </si>
  <si>
    <t>Patient does not know what action is required or when to expect an update.</t>
  </si>
  <si>
    <t>Missed appointment or additional inbound calls become more likely.</t>
  </si>
  <si>
    <t>Record communication outcome and next contact window without including PHI.</t>
  </si>
  <si>
    <t>Patient services representative</t>
  </si>
  <si>
    <t>Escalation</t>
  </si>
  <si>
    <t>Apply a defined rule when a case remains open beyond the follow-up threshold or risk rating is high.</t>
  </si>
  <si>
    <t>No escalation is triggered even though the follow-up window has passed.</t>
  </si>
  <si>
    <t>Case remains in the same stage without a higher-level review.</t>
  </si>
  <si>
    <t>Downstream stages continue to wait and the bottleneck lengthens.</t>
  </si>
  <si>
    <t>Trigger escalation, reassign owner if needed, and document the reason.</t>
  </si>
  <si>
    <t>Supervisor / lead</t>
  </si>
  <si>
    <t>Verified Closure</t>
  </si>
  <si>
    <t>Require documented evidence, a final accuracy check, and confirmation that the patient was informed.</t>
  </si>
  <si>
    <t>Case is marked closed without a final check or communication record.</t>
  </si>
  <si>
    <t>Unresolved issue may reappear later as rework.</t>
  </si>
  <si>
    <t>Data quality and communication gaps are not visible in the closed record.</t>
  </si>
  <si>
    <t>Block closure until evidence, accuracy check, and communication status are recorded.</t>
  </si>
  <si>
    <t>Case owner</t>
  </si>
  <si>
    <t>CASE CONTROL</t>
  </si>
  <si>
    <t>Simulated case tracker. All cases are synthetic. Columns track ownership, priority, next action, follow-up, escalation, communication, and closure.</t>
  </si>
  <si>
    <t>Case ID</t>
  </si>
  <si>
    <t>Opened</t>
  </si>
  <si>
    <t>Current Stage</t>
  </si>
  <si>
    <t>Issue Type</t>
  </si>
  <si>
    <t>Source of Issue</t>
  </si>
  <si>
    <t>Downstream Effect</t>
  </si>
  <si>
    <t>Owner</t>
  </si>
  <si>
    <t>Priority</t>
  </si>
  <si>
    <t>Priority Score</t>
  </si>
  <si>
    <t>Next Action</t>
  </si>
  <si>
    <t>Follow-up Date</t>
  </si>
  <si>
    <t>Days Open</t>
  </si>
  <si>
    <t>Escalation Trigger</t>
  </si>
  <si>
    <t>Escalation Status</t>
  </si>
  <si>
    <t>Communication Status</t>
  </si>
  <si>
    <t>Case Status</t>
  </si>
  <si>
    <t>Closed Date</t>
  </si>
  <si>
    <t>Evidence</t>
  </si>
  <si>
    <t>Accuracy Check</t>
  </si>
  <si>
    <t>Data Type</t>
  </si>
  <si>
    <t>PA-001</t>
  </si>
  <si>
    <t>DOB mismatch</t>
  </si>
  <si>
    <t>Registration entry</t>
  </si>
  <si>
    <t>Eligibility cannot be matched</t>
  </si>
  <si>
    <t>Eligibility Rep</t>
  </si>
  <si>
    <t>High</t>
  </si>
  <si>
    <t>Correct DOB and reverify coverage</t>
  </si>
  <si>
    <t>Mismatch unresolved after 2 business days</t>
  </si>
  <si>
    <t>Triggered</t>
  </si>
  <si>
    <t>Status update sent</t>
  </si>
  <si>
    <t>In Progress</t>
  </si>
  <si>
    <t>Mismatch log</t>
  </si>
  <si>
    <t>Pending</t>
  </si>
  <si>
    <t>Synthetic</t>
  </si>
  <si>
    <t>PA-002</t>
  </si>
  <si>
    <t>Incomplete address</t>
  </si>
  <si>
    <t>Scheduling handoff</t>
  </si>
  <si>
    <t>Verification delayed</t>
  </si>
  <si>
    <t>Patient Access Rep</t>
  </si>
  <si>
    <t>Medium</t>
  </si>
  <si>
    <t>Request complete address from simulated source</t>
  </si>
  <si>
    <t>Incomplete data after first follow-up</t>
  </si>
  <si>
    <t>Not triggered</t>
  </si>
  <si>
    <t>Not yet required</t>
  </si>
  <si>
    <t>Open</t>
  </si>
  <si>
    <t>Pre-reg checklist</t>
  </si>
  <si>
    <t>PA-003</t>
  </si>
  <si>
    <t>Coverage unconfirmed</t>
  </si>
  <si>
    <t>Eligibility mismatch</t>
  </si>
  <si>
    <t>Auth review blocked</t>
  </si>
  <si>
    <t>Authorization Support</t>
  </si>
  <si>
    <t>Escalate eligibility resolution</t>
  </si>
  <si>
    <t>Auth blocked &gt; 48 hours</t>
  </si>
  <si>
    <t>Patient informed of delay</t>
  </si>
  <si>
    <t>Escalation note</t>
  </si>
  <si>
    <t>PA-004</t>
  </si>
  <si>
    <t>Name variation</t>
  </si>
  <si>
    <t>Possible coverage mismatch</t>
  </si>
  <si>
    <t>Confirm legal name and reverify</t>
  </si>
  <si>
    <t>Variation unresolved after routine check</t>
  </si>
  <si>
    <t>Update planned</t>
  </si>
  <si>
    <t>Name check log</t>
  </si>
  <si>
    <t>PA-005</t>
  </si>
  <si>
    <t>Coverage limitation question</t>
  </si>
  <si>
    <t>Eligibility response</t>
  </si>
  <si>
    <t>Estimate cannot be finalized</t>
  </si>
  <si>
    <t>Financial Clearance Rep</t>
  </si>
  <si>
    <t>Document open question and assign verification</t>
  </si>
  <si>
    <t>Open question 48 hours before appointment</t>
  </si>
  <si>
    <t>Monitoring</t>
  </si>
  <si>
    <t>Open-question log</t>
  </si>
  <si>
    <t>PA-006</t>
  </si>
  <si>
    <t>No status update recorded</t>
  </si>
  <si>
    <t>Handoff failure</t>
  </si>
  <si>
    <t>Patient may not know next step</t>
  </si>
  <si>
    <t>Patient Services Rep</t>
  </si>
  <si>
    <t>Record simulated communication outcome</t>
  </si>
  <si>
    <t>No documented contact before next business day</t>
  </si>
  <si>
    <t>Completed: next steps explained</t>
  </si>
  <si>
    <t>Closed</t>
  </si>
  <si>
    <t>Communication outcome documented</t>
  </si>
  <si>
    <t>Pass</t>
  </si>
  <si>
    <t>PA-007</t>
  </si>
  <si>
    <t>Address formatting</t>
  </si>
  <si>
    <t>Eligibility match may fail</t>
  </si>
  <si>
    <t>Low</t>
  </si>
  <si>
    <t>Validate address formatting</t>
  </si>
  <si>
    <t>Still unresolved after routine follow-up</t>
  </si>
  <si>
    <t>Corrected formatting + review</t>
  </si>
  <si>
    <t>PA-008</t>
  </si>
  <si>
    <t>Coverage response unclear</t>
  </si>
  <si>
    <t>Simulated eligibility response</t>
  </si>
  <si>
    <t>Auth and clearance remain pending</t>
  </si>
  <si>
    <t>Route response for supervisor review</t>
  </si>
  <si>
    <t>Ambiguous response requires second review</t>
  </si>
  <si>
    <t>Status update provided</t>
  </si>
  <si>
    <t>Second-review request</t>
  </si>
  <si>
    <t>PA-009</t>
  </si>
  <si>
    <t>Missing supporting document</t>
  </si>
  <si>
    <t>Documentation handoff</t>
  </si>
  <si>
    <t>Auth cannot be submitted</t>
  </si>
  <si>
    <t>Request simulated supporting document</t>
  </si>
  <si>
    <t>Document still missing after first request</t>
  </si>
  <si>
    <t>Document request log</t>
  </si>
  <si>
    <t>PA-010</t>
  </si>
  <si>
    <t>Benefit detail incomplete</t>
  </si>
  <si>
    <t>Responsibility discussion delayed</t>
  </si>
  <si>
    <t>Request benefit clarification</t>
  </si>
  <si>
    <t>Clarification not received before appointment window</t>
  </si>
  <si>
    <t>Benefit question log</t>
  </si>
  <si>
    <t>PA-011</t>
  </si>
  <si>
    <t>Follow-up not documented</t>
  </si>
  <si>
    <t>Case owner handoff</t>
  </si>
  <si>
    <t>Patient may call for status</t>
  </si>
  <si>
    <t>Record planned contact window</t>
  </si>
  <si>
    <t>No contact documented within 2 business days</t>
  </si>
  <si>
    <t>Contact plan</t>
  </si>
  <si>
    <t>PA-012</t>
  </si>
  <si>
    <t>Closure blocked</t>
  </si>
  <si>
    <t>Missing accuracy check</t>
  </si>
  <si>
    <t>Case cannot be closed</t>
  </si>
  <si>
    <t>Case Owner</t>
  </si>
  <si>
    <t>Complete final accuracy check</t>
  </si>
  <si>
    <t>Closure attempted without required evidence</t>
  </si>
  <si>
    <t>Completed</t>
  </si>
  <si>
    <t>Final check + communication</t>
  </si>
  <si>
    <t>ACCURACY CONTROLS</t>
  </si>
  <si>
    <t>Checks that must be completed before a simulated case moves downstream or is closed. These are practice controls, not employer policies.</t>
  </si>
  <si>
    <t>#</t>
  </si>
  <si>
    <t>Control Area</t>
  </si>
  <si>
    <t>What Must Be Verified</t>
  </si>
  <si>
    <t>Why It Matters</t>
  </si>
  <si>
    <t>Applies Before</t>
  </si>
  <si>
    <t>Completeness</t>
  </si>
  <si>
    <t>Required demographic and appointment fields are present before handoff.</t>
  </si>
  <si>
    <t>Missing fields create downstream verification work.</t>
  </si>
  <si>
    <t>Registration handoff</t>
  </si>
  <si>
    <t>Required</t>
  </si>
  <si>
    <t>Consistency</t>
  </si>
  <si>
    <t>Key fields (name, DOB, address) align across the simulated registration and coverage records.</t>
  </si>
  <si>
    <t>Inconsistent fields prevent confident eligibility matching.</t>
  </si>
  <si>
    <t>Eligibility verification</t>
  </si>
  <si>
    <t>Mismatch documentation</t>
  </si>
  <si>
    <t>Mismatch type is recorded and the next action is assigned.</t>
  </si>
  <si>
    <t>Undocumented mismatches are not visible to the next owner.</t>
  </si>
  <si>
    <t>Eligibility stage</t>
  </si>
  <si>
    <t>Ownership</t>
  </si>
  <si>
    <t>Every open case has a named owner and a follow-up date.</t>
  </si>
  <si>
    <t>Unowned cases do not move.</t>
  </si>
  <si>
    <t>All stages</t>
  </si>
  <si>
    <t>Escalation rule</t>
  </si>
  <si>
    <t>Cases that exceed the follow-up threshold or carry high risk are escalated.</t>
  </si>
  <si>
    <t>Without a rule, bottlenecks lengthen silently.</t>
  </si>
  <si>
    <t>Any stage past threshold</t>
  </si>
  <si>
    <t>Patient communication</t>
  </si>
  <si>
    <t>A plain-language status or next step is recorded without including PHI.</t>
  </si>
  <si>
    <t>Patients who do not know the status are more likely to call or miss the appointment.</t>
  </si>
  <si>
    <t>Before closure</t>
  </si>
  <si>
    <t>Evidence for closure</t>
  </si>
  <si>
    <t>Closure requires a documented outcome and a final accuracy check.</t>
  </si>
  <si>
    <t>Closing without evidence hides unresolved issues.</t>
  </si>
  <si>
    <t>Verified closure</t>
  </si>
  <si>
    <t>Dashboard reconciliation</t>
  </si>
  <si>
    <t>Open, closed, escalated, and overdue counts match the case table.</t>
  </si>
  <si>
    <t>Unreconciled metrics misrepresent the workload.</t>
  </si>
  <si>
    <t>Dashboard review</t>
  </si>
  <si>
    <t>RISK MATRIX</t>
  </si>
  <si>
    <t>Practice view of which simulated failure types carry higher downstream impact and how they are prioritized in this workbook.</t>
  </si>
  <si>
    <t>Failure Type</t>
  </si>
  <si>
    <t>Likelihood (simulated)</t>
  </si>
  <si>
    <t>Downstream Impact</t>
  </si>
  <si>
    <t>Primary Affected Stage</t>
  </si>
  <si>
    <t>Priority Guidance</t>
  </si>
  <si>
    <t>DOB or identity mismatch</t>
  </si>
  <si>
    <t>Treat as High until resolved</t>
  </si>
  <si>
    <t>Incomplete address / demographics</t>
  </si>
  <si>
    <t>Registration → Eligibility</t>
  </si>
  <si>
    <t>Resolve before eligibility</t>
  </si>
  <si>
    <t>Eligibility → Authorization</t>
  </si>
  <si>
    <t>Escalate for second review</t>
  </si>
  <si>
    <t>Request and track follow-up</t>
  </si>
  <si>
    <t>No patient status update</t>
  </si>
  <si>
    <t>Record outcome before close</t>
  </si>
  <si>
    <t>Closure without evidence</t>
  </si>
  <si>
    <t>Block closure</t>
  </si>
  <si>
    <t>Overdue follow-up</t>
  </si>
  <si>
    <t>Any open stage</t>
  </si>
  <si>
    <t>Trigger escalation</t>
  </si>
  <si>
    <t>DASHBOARD</t>
  </si>
  <si>
    <t>Formula-driven summary of the simulated case table. Metrics reconcile to CASE CONTROL. All data is synthetic.</t>
  </si>
  <si>
    <t>WORKLOAD SUMMARY</t>
  </si>
  <si>
    <t>OPEN CASES BY STAGE</t>
  </si>
  <si>
    <t>Total cases</t>
  </si>
  <si>
    <t>Stage</t>
  </si>
  <si>
    <t>Open cases</t>
  </si>
  <si>
    <t>In progress</t>
  </si>
  <si>
    <t>Closed cases</t>
  </si>
  <si>
    <t>Escalated (triggered)</t>
  </si>
  <si>
    <t>High priority open</t>
  </si>
  <si>
    <t>Overdue follow-ups</t>
  </si>
  <si>
    <t>GLOSSARY</t>
  </si>
  <si>
    <t>Plain-language definitions used in this simulated workbook. These are educational definitions for portfolio practice, not regulatory definitions.</t>
  </si>
  <si>
    <t>Term</t>
  </si>
  <si>
    <t>How It Is Used in This Workbook</t>
  </si>
  <si>
    <t>Patient access</t>
  </si>
  <si>
    <t>The front-end steps that collect and confirm the information needed before a patient is seen, including scheduling, registration, and eligibility.</t>
  </si>
  <si>
    <t>The step where demographic and appointment information is entered or confirmed. In this workbook, registration errors are the simulated starting point of the failure path.</t>
  </si>
  <si>
    <t>The practice of confirming that simulated coverage is active and that key demographic fields align with the coverage record.</t>
  </si>
  <si>
    <t>Authorization readiness</t>
  </si>
  <si>
    <t>The state in which coverage is verified and required documentation is present so an authorization review can begin. This workbook does not submit real authorizations.</t>
  </si>
  <si>
    <t>Financial clearance</t>
  </si>
  <si>
    <t>The step that confirms benefit information and unresolved financial questions before a patient estimate can be finalized. All figures here are synthetic.</t>
  </si>
  <si>
    <t>A defined handoff to a higher-level review when a case remains open beyond the follow-up threshold or carries high risk.</t>
  </si>
  <si>
    <t>Bottleneck</t>
  </si>
  <si>
    <t>The stage where simulated work is accumulating and preventing later stages from progressing.</t>
  </si>
  <si>
    <t>Accuracy control</t>
  </si>
  <si>
    <t>A check that must be completed before a case moves downstream or is closed. Examples include completeness, consistency, ownership, and evidence.</t>
  </si>
  <si>
    <t>Closure</t>
  </si>
  <si>
    <t>The point at which a simulated case is marked complete only after evidence, a final accuracy check, and a communication status are recorded.</t>
  </si>
  <si>
    <t>No-PHI boundary</t>
  </si>
  <si>
    <t>This workbook contains no real patient, payer, or employer information. All cases and identifiers are synthetic.</t>
  </si>
  <si>
    <t>EVIDENCE GUIDE</t>
  </si>
  <si>
    <t>Translate the artifact into honest recruiter-facing proof without implying professional employment or live operational results.</t>
  </si>
  <si>
    <t>Evidence Area</t>
  </si>
  <si>
    <t>What the Workbook Demonstrates</t>
  </si>
  <si>
    <t>What Not to Claim</t>
  </si>
  <si>
    <t>Recruiter / Interview Language</t>
  </si>
  <si>
    <t>Workflow mapping</t>
  </si>
  <si>
    <t>Traces a simulated registration-to-eligibility failure path and identifies downstream effects on authorization, clearance, and communication.</t>
  </si>
  <si>
    <t>Do not claim live registration, payer access, or employer process redesign.</t>
  </si>
  <si>
    <t>I mapped how a front-end data discrepancy can affect eligibility, authorization readiness, financial clearance, and patient communication.</t>
  </si>
  <si>
    <t>Case control</t>
  </si>
  <si>
    <t>Organizes fictional cases by owner, priority, next action, follow-up, escalation, communication, and closure status.</t>
  </si>
  <si>
    <t>Do not claim production work-queue management.</t>
  </si>
  <si>
    <t>I built a simulated case-control tracker to practice assigning ownership, priority, and next actions.</t>
  </si>
  <si>
    <t>Accuracy controls</t>
  </si>
  <si>
    <t>Uses explicit completeness, consistency, ownership, escalation, communication, and closure checks.</t>
  </si>
  <si>
    <t>Do not claim employer compliance authority or measured error reduction.</t>
  </si>
  <si>
    <t>I used defined accuracy controls so a simulated case could not be considered complete without evidence.</t>
  </si>
  <si>
    <t>Risk awareness</t>
  </si>
  <si>
    <t>Rates simulated failure types by likelihood and downstream impact and ties them to priority guidance.</t>
  </si>
  <si>
    <t>Do not claim formal risk assessment or employer risk ownership.</t>
  </si>
  <si>
    <t>I used a simple risk matrix to practice prioritizing which simulated issues needed faster follow-up.</t>
  </si>
  <si>
    <t>Patient communication awareness</t>
  </si>
  <si>
    <t>Tracks whether an understandable status update or next step was recorded without including PHI.</t>
  </si>
  <si>
    <t>Do not claim live patient calls or protected-information handling.</t>
  </si>
  <si>
    <t>The project helped me connect workflow status with the need for a clear patient-facing update.</t>
  </si>
  <si>
    <t>Dashboard interpretation</t>
  </si>
  <si>
    <t>Summarizes fictional workload, bottleneck stage, escalations, and overdue follow-ups with formulas that reconcile to the case table.</t>
  </si>
  <si>
    <t>Do not claim real operational metrics or performance improvement.</t>
  </si>
  <si>
    <t>I used a formula-driven dashboard to identify where simulated work was accumulating.</t>
  </si>
  <si>
    <t>RESUME BULLET (HONEST)</t>
  </si>
  <si>
    <t>Built a simulated, no-PHI patient-access workflow map and case-control tracker connecting a registration data discrepancy to eligibility mismatch, authorization readiness, financial clearance, follow-up, escalation, patient communication, and verified closure.</t>
  </si>
  <si>
    <t>60-SECOND INTERVIEW EXPLANATION</t>
  </si>
  <si>
    <t>I created this student-developed, simulated project to understand where a patient-access workflow first loses control. I mapped a registration data discrepancy through eligibility, authorization readiness, financial clearance, and patient communication. Then I built a case-control tracker with ownership, priority, follow-up, escalation, and closure rules so I could practice keeping the case visible until it was resolved. Everything in the workbook is synthetic and does not represent professional employment or live operational results.</t>
  </si>
  <si>
    <t>PORTFOLIO DISCLAIMER</t>
  </si>
  <si>
    <t>Created by Kori Pickle, BSHA Candidate, University of Phoenix (degree in progress). This project is educational, simulated, and contains no PHI. It does not represent professional healthcare employment, live registration work, EHR use, payer-portal access, or measured operational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</si>
</sst>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4" x14ac:knownFonts="1">
    <font>
      <sz val="11"/>
      <color theme="1"/>
      <name val="Calibri"/>
      <family val="2"/>
      <scheme val="minor"/>
    </font>
    <font>
      <b/>
      <sz val="18"/>
      <color rgb="FF1A1A1A"/>
      <name val="Calibri"/>
    </font>
    <font>
      <i/>
      <sz val="11"/>
      <color rgb="FF6B7280"/>
      <name val="Calibri"/>
    </font>
    <font>
      <b/>
      <sz val="13"/>
      <color rgb="FF1A1A1A"/>
      <name val="Calibri"/>
    </font>
    <font>
      <b/>
      <sz val="10"/>
      <color rgb="FF1A1A1A"/>
      <name val="Calibri"/>
    </font>
    <font>
      <sz val="10"/>
      <color rgb="FF1A1A1A"/>
      <name val="Calibri"/>
    </font>
    <font>
      <b/>
      <sz val="11"/>
      <color rgb="FFFF8200"/>
      <name val="Calibri"/>
    </font>
    <font>
      <sz val="12"/>
      <color rgb="FFFF8200"/>
      <name val="Calibri"/>
    </font>
    <font>
      <b/>
      <sz val="16"/>
      <color rgb="FF1A1A1A"/>
      <name val="Calibri"/>
    </font>
    <font>
      <i/>
      <sz val="10"/>
      <color rgb="FF6B7280"/>
      <name val="Calibri"/>
    </font>
    <font>
      <b/>
      <sz val="10"/>
      <color rgb="FFFFFFFF"/>
      <name val="Calibri"/>
    </font>
    <font>
      <b/>
      <sz val="12"/>
      <color rgb="FF1A1A1A"/>
      <name val="Calibri"/>
    </font>
    <font>
      <b/>
      <sz val="14"/>
      <color rgb="FF1A1A1A"/>
      <name val="Calibri"/>
    </font>
    <font>
      <b/>
      <sz val="11"/>
      <color rgb="FF1A1A1A"/>
      <name val="Calibri"/>
    </font>
  </fonts>
  <fills count="6">
    <fill>
      <patternFill patternType="none"/>
    </fill>
    <fill>
      <patternFill patternType="gray125"/>
    </fill>
    <fill>
      <patternFill patternType="solid">
        <fgColor rgb="FF1A1A1A"/>
      </patternFill>
    </fill>
    <fill>
      <patternFill patternType="solid">
        <fgColor rgb="FFFFFFFF"/>
      </patternFill>
    </fill>
    <fill>
      <patternFill patternType="solid">
        <fgColor rgb="FFFAFAFA"/>
      </patternFill>
    </fill>
    <fill>
      <patternFill patternType="solid">
        <fgColor rgb="FFFFF4E6"/>
      </patternFill>
    </fill>
  </fills>
  <borders count="5">
    <border>
      <left/>
      <right/>
      <top/>
      <bottom/>
      <diagonal/>
    </border>
    <border>
      <left/>
      <right/>
      <top/>
      <bottom style="medium">
        <color rgb="FFFF8200"/>
      </bottom>
      <diagonal/>
    </border>
    <border>
      <left/>
      <right/>
      <top/>
      <bottom style="medium">
        <color rgb="FFFF8200"/>
      </bottom>
      <diagonal/>
    </border>
    <border>
      <left/>
      <right/>
      <top/>
      <bottom style="medium">
        <color rgb="FFFF8200"/>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38">
    <xf numFmtId="0" fontId="0" fillId="0" borderId="0" xfId="0"/>
    <xf numFmtId="0" fontId="0" fillId="0" borderId="2" xfId="0" applyBorder="1"/>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horizontal="center" vertical="top"/>
    </xf>
    <xf numFmtId="0" fontId="7" fillId="0" borderId="0" xfId="0" applyFont="1" applyAlignment="1">
      <alignment horizontal="center"/>
    </xf>
    <xf numFmtId="0" fontId="5" fillId="0" borderId="0" xfId="0" applyFont="1"/>
    <xf numFmtId="0" fontId="3" fillId="0" borderId="3" xfId="0" applyFont="1" applyBorder="1"/>
    <xf numFmtId="0" fontId="10" fillId="2" borderId="4" xfId="0" applyFont="1" applyFill="1" applyBorder="1" applyAlignment="1">
      <alignment horizontal="center" vertical="center" wrapText="1"/>
    </xf>
    <xf numFmtId="0" fontId="0" fillId="3" borderId="4" xfId="0" applyFill="1" applyBorder="1" applyAlignment="1">
      <alignment vertical="center" wrapText="1"/>
    </xf>
    <xf numFmtId="0" fontId="0" fillId="4" borderId="4" xfId="0" applyFill="1" applyBorder="1" applyAlignment="1">
      <alignment vertical="center" wrapText="1"/>
    </xf>
    <xf numFmtId="164" fontId="0" fillId="3" borderId="4" xfId="0" applyNumberFormat="1" applyFill="1" applyBorder="1" applyAlignment="1">
      <alignment vertical="center" wrapText="1"/>
    </xf>
    <xf numFmtId="164" fontId="0" fillId="4" borderId="4" xfId="0" applyNumberFormat="1" applyFill="1" applyBorder="1" applyAlignment="1">
      <alignment vertical="center" wrapText="1"/>
    </xf>
    <xf numFmtId="0" fontId="5" fillId="3" borderId="4" xfId="0" applyFont="1" applyFill="1" applyBorder="1" applyAlignment="1">
      <alignment vertical="center" wrapText="1"/>
    </xf>
    <xf numFmtId="0" fontId="5" fillId="4" borderId="4" xfId="0" applyFont="1" applyFill="1" applyBorder="1" applyAlignment="1">
      <alignment vertical="center" wrapText="1"/>
    </xf>
    <xf numFmtId="0" fontId="4" fillId="0" borderId="4" xfId="0" applyFont="1" applyBorder="1" applyAlignment="1">
      <alignment vertical="center"/>
    </xf>
    <xf numFmtId="0" fontId="12" fillId="5" borderId="4" xfId="0" applyFont="1" applyFill="1" applyBorder="1" applyAlignment="1">
      <alignment horizontal="center" vertical="center"/>
    </xf>
    <xf numFmtId="0" fontId="10" fillId="2" borderId="0" xfId="0" applyFont="1" applyFill="1"/>
    <xf numFmtId="0" fontId="12" fillId="3" borderId="4" xfId="0" applyFont="1" applyFill="1" applyBorder="1" applyAlignment="1">
      <alignment horizontal="center" vertical="center"/>
    </xf>
    <xf numFmtId="0" fontId="5" fillId="0" borderId="4" xfId="0" applyFont="1" applyBorder="1"/>
    <xf numFmtId="0" fontId="5" fillId="0" borderId="4" xfId="0" applyFont="1" applyBorder="1" applyAlignment="1">
      <alignment horizontal="center"/>
    </xf>
    <xf numFmtId="0" fontId="4" fillId="0" borderId="4" xfId="0" applyFont="1" applyBorder="1" applyAlignment="1">
      <alignment vertical="top" wrapText="1"/>
    </xf>
    <xf numFmtId="0" fontId="5" fillId="0" borderId="4" xfId="0" applyFont="1" applyBorder="1" applyAlignment="1">
      <alignment vertical="top" wrapText="1"/>
    </xf>
    <xf numFmtId="0" fontId="4" fillId="4" borderId="4" xfId="0" applyFont="1" applyFill="1" applyBorder="1" applyAlignment="1">
      <alignment vertical="top" wrapText="1"/>
    </xf>
    <xf numFmtId="0" fontId="5" fillId="4" borderId="4" xfId="0" applyFont="1" applyFill="1" applyBorder="1" applyAlignment="1">
      <alignment vertical="top" wrapText="1"/>
    </xf>
    <xf numFmtId="0" fontId="5" fillId="0" borderId="4" xfId="0" applyFont="1" applyBorder="1" applyAlignment="1">
      <alignment vertical="center" wrapText="1"/>
    </xf>
    <xf numFmtId="0" fontId="6" fillId="0" borderId="0" xfId="0" applyFont="1" applyAlignment="1">
      <alignment horizontal="center" vertical="top"/>
    </xf>
    <xf numFmtId="0" fontId="5" fillId="0" borderId="0" xfId="0" applyFont="1" applyAlignment="1">
      <alignment vertical="top" wrapText="1"/>
    </xf>
    <xf numFmtId="0" fontId="2" fillId="0" borderId="0" xfId="0" applyFont="1"/>
    <xf numFmtId="0" fontId="0" fillId="0" borderId="0" xfId="0"/>
    <xf numFmtId="0" fontId="3" fillId="0" borderId="1" xfId="0" applyFont="1" applyBorder="1"/>
    <xf numFmtId="0" fontId="0" fillId="0" borderId="2" xfId="0" applyBorder="1"/>
    <xf numFmtId="0" fontId="1" fillId="0" borderId="0" xfId="0" applyFont="1"/>
    <xf numFmtId="0" fontId="13" fillId="0" borderId="0" xfId="0" applyFont="1"/>
    <xf numFmtId="0" fontId="4" fillId="0" borderId="0" xfId="0" applyFont="1" applyAlignment="1">
      <alignment vertical="top" wrapText="1"/>
    </xf>
    <xf numFmtId="0" fontId="9" fillId="0" borderId="0" xfId="0" applyFont="1"/>
    <xf numFmtId="0" fontId="8" fillId="0" borderId="0" xfId="0" applyFont="1"/>
    <xf numFmtId="0" fontId="11" fillId="0" borderId="3" xfId="0" applyFont="1" applyBorder="1"/>
  </cellXfs>
  <cellStyles count="1">
    <cellStyle name="Normal" xfId="0" builtinId="0"/>
  </cellStyles>
  <dxfs count="8">
    <dxf>
      <fill>
        <patternFill patternType="solid">
          <fgColor rgb="FFF0FDF4"/>
        </patternFill>
      </fill>
    </dxf>
    <dxf>
      <fill>
        <patternFill patternType="solid">
          <fgColor rgb="FFFFFBEB"/>
        </patternFill>
      </fill>
    </dxf>
    <dxf>
      <fill>
        <patternFill patternType="solid">
          <fgColor rgb="FFFEF2F2"/>
        </patternFill>
      </fill>
    </dxf>
    <dxf>
      <fill>
        <patternFill patternType="solid">
          <fgColor rgb="FFFFFBEB"/>
        </patternFill>
      </fill>
    </dxf>
    <dxf>
      <fill>
        <patternFill patternType="solid">
          <fgColor rgb="FFF0FDF4"/>
        </patternFill>
      </fill>
    </dxf>
    <dxf>
      <fill>
        <patternFill patternType="solid">
          <fgColor rgb="FFF0FDF4"/>
        </patternFill>
      </fill>
    </dxf>
    <dxf>
      <fill>
        <patternFill patternType="solid">
          <fgColor rgb="FFFFFBEB"/>
        </patternFill>
      </fill>
    </dxf>
    <dxf>
      <fill>
        <patternFill patternType="solid">
          <fgColor rgb="FFFEF2F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calcChain" Target="calcChain.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sharedStrings" Target="sharedStrings.xml" /><Relationship Id="rId5" Type="http://schemas.openxmlformats.org/officeDocument/2006/relationships/worksheet" Target="worksheets/sheet5.xml" /><Relationship Id="rId10" Type="http://schemas.openxmlformats.org/officeDocument/2006/relationships/styles" Target="styles.xml" /><Relationship Id="rId4" Type="http://schemas.openxmlformats.org/officeDocument/2006/relationships/worksheet" Target="worksheets/sheet4.xml" /><Relationship Id="rId9" Type="http://schemas.openxmlformats.org/officeDocument/2006/relationships/theme" Target="theme/theme1.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Open Cases by Stage</a:t>
            </a:r>
          </a:p>
        </c:rich>
      </c:tx>
      <c:overlay val="1"/>
    </c:title>
    <c:autoTitleDeleted val="0"/>
    <c:plotArea>
      <c:layout/>
      <c:barChart>
        <c:barDir val="col"/>
        <c:grouping val="clustered"/>
        <c:varyColors val="1"/>
        <c:ser>
          <c:idx val="0"/>
          <c:order val="0"/>
          <c:tx>
            <c:strRef>
              <c:f>DASHBOARD!E5</c:f>
              <c:strCache>
                <c:ptCount val="1"/>
                <c:pt idx="0">
                  <c:v>Open</c:v>
                </c:pt>
              </c:strCache>
            </c:strRef>
          </c:tx>
          <c:spPr>
            <a:ln>
              <a:prstDash val="solid"/>
            </a:ln>
          </c:spPr>
          <c:invertIfNegative val="1"/>
          <c:cat>
            <c:strRef>
              <c:f>DASHBOARD!$D$6:$D$11</c:f>
              <c:strCache>
                <c:ptCount val="6"/>
                <c:pt idx="0">
                  <c:v>Registration</c:v>
                </c:pt>
                <c:pt idx="1">
                  <c:v>Eligibility Verification</c:v>
                </c:pt>
                <c:pt idx="2">
                  <c:v>Authorization Readiness</c:v>
                </c:pt>
                <c:pt idx="3">
                  <c:v>Financial Clearance</c:v>
                </c:pt>
                <c:pt idx="4">
                  <c:v>Patient Communication</c:v>
                </c:pt>
                <c:pt idx="5">
                  <c:v>Verified Closure</c:v>
                </c:pt>
              </c:strCache>
            </c:strRef>
          </c:cat>
          <c:val>
            <c:numRef>
              <c:f>DASHBOARD!$E$6:$E$11</c:f>
              <c:numCache>
                <c:formatCode>General</c:formatCode>
                <c:ptCount val="6"/>
                <c:pt idx="0">
                  <c:v>1</c:v>
                </c:pt>
                <c:pt idx="1">
                  <c:v>3</c:v>
                </c:pt>
                <c:pt idx="2">
                  <c:v>2</c:v>
                </c:pt>
                <c:pt idx="3">
                  <c:v>2</c:v>
                </c:pt>
                <c:pt idx="4">
                  <c:v>1</c:v>
                </c:pt>
                <c:pt idx="5">
                  <c:v>0</c:v>
                </c:pt>
              </c:numCache>
            </c:numRef>
          </c:val>
          <c:extLst>
            <c:ext xmlns:c16="http://schemas.microsoft.com/office/drawing/2014/chart" uri="{C3380CC4-5D6E-409C-BE32-E72D297353CC}">
              <c16:uniqueId val="{00000000-9A2D-B74B-B4E4-2254CE2B21F5}"/>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dr:oneCellAnchor>
    <xdr:from>
      <xdr:col>6</xdr:col>
      <xdr:colOff>0</xdr:colOff>
      <xdr:row>3</xdr:row>
      <xdr:rowOff>0</xdr:rowOff>
    </xdr:from>
    <xdr:ext cx="5400000" cy="288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8200"/>
    <pageSetUpPr fitToPage="1"/>
  </sheetPr>
  <dimension ref="A1:B33"/>
  <sheetViews>
    <sheetView tabSelected="1" workbookViewId="0"/>
  </sheetViews>
  <sheetFormatPr defaultRowHeight="15" x14ac:dyDescent="0.2"/>
  <cols>
    <col min="1" max="1" width="27.98046875" customWidth="1"/>
    <col min="2" max="2" width="69.94921875" customWidth="1"/>
    <col min="3" max="4" width="20.04296875" customWidth="1"/>
  </cols>
  <sheetData>
    <row r="1" spans="1:2" ht="27.95" customHeight="1" x14ac:dyDescent="0.3">
      <c r="A1" s="32" t="s">
        <v>0</v>
      </c>
      <c r="B1" s="29"/>
    </row>
    <row r="2" spans="1:2" x14ac:dyDescent="0.2">
      <c r="A2" s="28" t="s">
        <v>1</v>
      </c>
      <c r="B2" s="29"/>
    </row>
    <row r="3" spans="1:2" x14ac:dyDescent="0.2">
      <c r="A3" s="33" t="s">
        <v>2</v>
      </c>
      <c r="B3" s="29"/>
    </row>
    <row r="5" spans="1:2" ht="18" x14ac:dyDescent="0.25">
      <c r="A5" s="30" t="s">
        <v>3</v>
      </c>
      <c r="B5" s="31"/>
    </row>
    <row r="6" spans="1:2" ht="21.95" customHeight="1" x14ac:dyDescent="0.2">
      <c r="A6" s="15" t="s">
        <v>4</v>
      </c>
      <c r="B6" s="25" t="s">
        <v>5</v>
      </c>
    </row>
    <row r="7" spans="1:2" ht="21.95" customHeight="1" x14ac:dyDescent="0.2">
      <c r="A7" s="15" t="s">
        <v>6</v>
      </c>
      <c r="B7" s="25" t="s">
        <v>7</v>
      </c>
    </row>
    <row r="8" spans="1:2" ht="21.95" customHeight="1" x14ac:dyDescent="0.2">
      <c r="A8" s="15" t="s">
        <v>8</v>
      </c>
      <c r="B8" s="25" t="s">
        <v>9</v>
      </c>
    </row>
    <row r="9" spans="1:2" ht="36" customHeight="1" x14ac:dyDescent="0.2"/>
    <row r="10" spans="1:2" ht="36" customHeight="1" x14ac:dyDescent="0.25">
      <c r="A10" s="7" t="s">
        <v>10</v>
      </c>
      <c r="B10" s="1"/>
    </row>
    <row r="11" spans="1:2" ht="25.5" x14ac:dyDescent="0.2">
      <c r="A11" s="2" t="s">
        <v>11</v>
      </c>
      <c r="B11" s="3" t="s">
        <v>12</v>
      </c>
    </row>
    <row r="12" spans="1:2" x14ac:dyDescent="0.2">
      <c r="A12" s="34" t="s">
        <v>13</v>
      </c>
      <c r="B12" s="27" t="s">
        <v>14</v>
      </c>
    </row>
    <row r="13" spans="1:2" ht="27.95" customHeight="1" x14ac:dyDescent="0.2">
      <c r="A13" s="2" t="s">
        <v>15</v>
      </c>
      <c r="B13" s="3" t="s">
        <v>16</v>
      </c>
    </row>
    <row r="14" spans="1:2" ht="27.95" customHeight="1" x14ac:dyDescent="0.2">
      <c r="A14" s="2" t="s">
        <v>17</v>
      </c>
      <c r="B14" s="3" t="s">
        <v>18</v>
      </c>
    </row>
    <row r="15" spans="1:2" ht="27.95" customHeight="1" x14ac:dyDescent="0.2">
      <c r="A15" s="2" t="s">
        <v>19</v>
      </c>
      <c r="B15" s="3" t="s">
        <v>20</v>
      </c>
    </row>
    <row r="16" spans="1:2" ht="27.95" customHeight="1" x14ac:dyDescent="0.2"/>
    <row r="17" spans="1:2" ht="27.95" customHeight="1" x14ac:dyDescent="0.25">
      <c r="A17" s="7" t="s">
        <v>21</v>
      </c>
      <c r="B17" s="1"/>
    </row>
    <row r="18" spans="1:2" ht="27.95" customHeight="1" x14ac:dyDescent="0.2">
      <c r="A18" s="4">
        <v>1</v>
      </c>
      <c r="B18" s="3" t="s">
        <v>22</v>
      </c>
    </row>
    <row r="19" spans="1:2" ht="27.95" customHeight="1" x14ac:dyDescent="0.2">
      <c r="A19" s="4">
        <v>2</v>
      </c>
      <c r="B19" s="3" t="s">
        <v>23</v>
      </c>
    </row>
    <row r="20" spans="1:2" ht="25.5" x14ac:dyDescent="0.2">
      <c r="A20" s="4">
        <v>3</v>
      </c>
      <c r="B20" s="3" t="s">
        <v>24</v>
      </c>
    </row>
    <row r="21" spans="1:2" x14ac:dyDescent="0.2">
      <c r="A21" s="26">
        <v>4</v>
      </c>
      <c r="B21" s="27" t="s">
        <v>25</v>
      </c>
    </row>
    <row r="22" spans="1:2" ht="25.5" x14ac:dyDescent="0.2">
      <c r="A22" s="4">
        <v>5</v>
      </c>
      <c r="B22" s="3" t="s">
        <v>26</v>
      </c>
    </row>
    <row r="23" spans="1:2" x14ac:dyDescent="0.2">
      <c r="A23" s="4">
        <v>6</v>
      </c>
      <c r="B23" s="3" t="s">
        <v>27</v>
      </c>
    </row>
    <row r="24" spans="1:2" ht="25.5" x14ac:dyDescent="0.2">
      <c r="A24" s="4">
        <v>7</v>
      </c>
      <c r="B24" s="3" t="s">
        <v>28</v>
      </c>
    </row>
    <row r="26" spans="1:2" ht="18" x14ac:dyDescent="0.25">
      <c r="A26" s="7" t="s">
        <v>29</v>
      </c>
      <c r="B26" s="1"/>
    </row>
    <row r="27" spans="1:2" x14ac:dyDescent="0.2">
      <c r="A27" s="5" t="s">
        <v>30</v>
      </c>
      <c r="B27" s="6" t="s">
        <v>31</v>
      </c>
    </row>
    <row r="28" spans="1:2" x14ac:dyDescent="0.2">
      <c r="A28" s="5" t="s">
        <v>30</v>
      </c>
      <c r="B28" s="6" t="s">
        <v>32</v>
      </c>
    </row>
    <row r="29" spans="1:2" x14ac:dyDescent="0.2">
      <c r="A29" s="5" t="s">
        <v>30</v>
      </c>
      <c r="B29" s="6" t="s">
        <v>33</v>
      </c>
    </row>
    <row r="30" spans="1:2" x14ac:dyDescent="0.2">
      <c r="A30" s="5" t="s">
        <v>30</v>
      </c>
      <c r="B30" s="6" t="s">
        <v>34</v>
      </c>
    </row>
    <row r="31" spans="1:2" x14ac:dyDescent="0.2">
      <c r="A31" s="5" t="s">
        <v>30</v>
      </c>
      <c r="B31" s="6" t="s">
        <v>35</v>
      </c>
    </row>
    <row r="32" spans="1:2" x14ac:dyDescent="0.2">
      <c r="A32" s="5" t="s">
        <v>30</v>
      </c>
      <c r="B32" s="6" t="s">
        <v>36</v>
      </c>
    </row>
    <row r="33" spans="1:2" x14ac:dyDescent="0.2">
      <c r="A33" s="5" t="s">
        <v>30</v>
      </c>
      <c r="B33" s="6" t="s">
        <v>37</v>
      </c>
    </row>
  </sheetData>
  <mergeCells count="6">
    <mergeCell ref="A21:B21"/>
    <mergeCell ref="A2:B2"/>
    <mergeCell ref="A5:B5"/>
    <mergeCell ref="A1:B1"/>
    <mergeCell ref="A3:B3"/>
    <mergeCell ref="A12:B12"/>
  </mergeCells>
  <pageMargins left="0.75" right="0.75" top="1" bottom="1" header="0.5" footer="0.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8200"/>
    <pageSetUpPr fitToPage="1"/>
  </sheetPr>
  <dimension ref="A1:H12"/>
  <sheetViews>
    <sheetView workbookViewId="0">
      <pane ySplit="4" topLeftCell="A5" activePane="bottomLeft" state="frozen"/>
      <selection pane="bottomLeft"/>
    </sheetView>
  </sheetViews>
  <sheetFormatPr defaultRowHeight="15" x14ac:dyDescent="0.2"/>
  <cols>
    <col min="1" max="1" width="7.93359375" customWidth="1"/>
    <col min="2" max="2" width="22.05859375" customWidth="1"/>
    <col min="3" max="3" width="37.93359375" customWidth="1"/>
    <col min="4" max="4" width="36.05078125" customWidth="1"/>
    <col min="5" max="5" width="32.015625" customWidth="1"/>
    <col min="6" max="6" width="36.05078125" customWidth="1"/>
    <col min="7" max="7" width="37.93359375" customWidth="1"/>
    <col min="8" max="8" width="22.05859375" customWidth="1"/>
  </cols>
  <sheetData>
    <row r="1" spans="1:8" ht="21" x14ac:dyDescent="0.3">
      <c r="A1" s="36" t="s">
        <v>38</v>
      </c>
      <c r="B1" s="29"/>
      <c r="C1" s="29"/>
      <c r="D1" s="29"/>
      <c r="E1" s="29"/>
      <c r="F1" s="29"/>
      <c r="G1" s="29"/>
      <c r="H1" s="29"/>
    </row>
    <row r="2" spans="1:8" x14ac:dyDescent="0.2">
      <c r="A2" s="35" t="s">
        <v>39</v>
      </c>
      <c r="B2" s="29"/>
      <c r="C2" s="29"/>
      <c r="D2" s="29"/>
      <c r="E2" s="29"/>
      <c r="F2" s="29"/>
      <c r="G2" s="29"/>
      <c r="H2" s="29"/>
    </row>
    <row r="4" spans="1:8" ht="21.95" customHeight="1" x14ac:dyDescent="0.2">
      <c r="A4" s="8" t="s">
        <v>40</v>
      </c>
      <c r="B4" s="8" t="s">
        <v>41</v>
      </c>
      <c r="C4" s="8" t="s">
        <v>42</v>
      </c>
      <c r="D4" s="8" t="s">
        <v>43</v>
      </c>
      <c r="E4" s="8" t="s">
        <v>44</v>
      </c>
      <c r="F4" s="8" t="s">
        <v>45</v>
      </c>
      <c r="G4" s="8" t="s">
        <v>46</v>
      </c>
      <c r="H4" s="8" t="s">
        <v>47</v>
      </c>
    </row>
    <row r="5" spans="1:8" ht="48" customHeight="1" x14ac:dyDescent="0.2">
      <c r="A5" s="9">
        <v>1</v>
      </c>
      <c r="B5" s="9" t="s">
        <v>48</v>
      </c>
      <c r="C5" s="9" t="s">
        <v>49</v>
      </c>
      <c r="D5" s="9" t="s">
        <v>50</v>
      </c>
      <c r="E5" s="9" t="s">
        <v>51</v>
      </c>
      <c r="F5" s="9" t="s">
        <v>52</v>
      </c>
      <c r="G5" s="9" t="s">
        <v>53</v>
      </c>
      <c r="H5" s="9" t="s">
        <v>54</v>
      </c>
    </row>
    <row r="6" spans="1:8" ht="48" customHeight="1" x14ac:dyDescent="0.2">
      <c r="A6" s="10">
        <v>2</v>
      </c>
      <c r="B6" s="10" t="s">
        <v>55</v>
      </c>
      <c r="C6" s="10" t="s">
        <v>56</v>
      </c>
      <c r="D6" s="10" t="s">
        <v>57</v>
      </c>
      <c r="E6" s="10" t="s">
        <v>58</v>
      </c>
      <c r="F6" s="10" t="s">
        <v>59</v>
      </c>
      <c r="G6" s="10" t="s">
        <v>60</v>
      </c>
      <c r="H6" s="10" t="s">
        <v>61</v>
      </c>
    </row>
    <row r="7" spans="1:8" ht="48" customHeight="1" x14ac:dyDescent="0.2">
      <c r="A7" s="9">
        <v>3</v>
      </c>
      <c r="B7" s="9" t="s">
        <v>62</v>
      </c>
      <c r="C7" s="9" t="s">
        <v>63</v>
      </c>
      <c r="D7" s="9" t="s">
        <v>64</v>
      </c>
      <c r="E7" s="9" t="s">
        <v>65</v>
      </c>
      <c r="F7" s="9" t="s">
        <v>66</v>
      </c>
      <c r="G7" s="9" t="s">
        <v>67</v>
      </c>
      <c r="H7" s="9" t="s">
        <v>68</v>
      </c>
    </row>
    <row r="8" spans="1:8" ht="48" customHeight="1" x14ac:dyDescent="0.2">
      <c r="A8" s="10">
        <v>4</v>
      </c>
      <c r="B8" s="10" t="s">
        <v>69</v>
      </c>
      <c r="C8" s="10" t="s">
        <v>70</v>
      </c>
      <c r="D8" s="10" t="s">
        <v>71</v>
      </c>
      <c r="E8" s="10" t="s">
        <v>72</v>
      </c>
      <c r="F8" s="10" t="s">
        <v>73</v>
      </c>
      <c r="G8" s="10" t="s">
        <v>74</v>
      </c>
      <c r="H8" s="10" t="s">
        <v>75</v>
      </c>
    </row>
    <row r="9" spans="1:8" ht="48" customHeight="1" x14ac:dyDescent="0.2">
      <c r="A9" s="9">
        <v>5</v>
      </c>
      <c r="B9" s="9" t="s">
        <v>76</v>
      </c>
      <c r="C9" s="9" t="s">
        <v>77</v>
      </c>
      <c r="D9" s="9" t="s">
        <v>78</v>
      </c>
      <c r="E9" s="9" t="s">
        <v>79</v>
      </c>
      <c r="F9" s="9" t="s">
        <v>80</v>
      </c>
      <c r="G9" s="9" t="s">
        <v>81</v>
      </c>
      <c r="H9" s="9" t="s">
        <v>82</v>
      </c>
    </row>
    <row r="10" spans="1:8" ht="48" customHeight="1" x14ac:dyDescent="0.2">
      <c r="A10" s="10">
        <v>6</v>
      </c>
      <c r="B10" s="10" t="s">
        <v>83</v>
      </c>
      <c r="C10" s="10" t="s">
        <v>84</v>
      </c>
      <c r="D10" s="10" t="s">
        <v>85</v>
      </c>
      <c r="E10" s="10" t="s">
        <v>86</v>
      </c>
      <c r="F10" s="10" t="s">
        <v>87</v>
      </c>
      <c r="G10" s="10" t="s">
        <v>88</v>
      </c>
      <c r="H10" s="10" t="s">
        <v>89</v>
      </c>
    </row>
    <row r="11" spans="1:8" ht="48" customHeight="1" x14ac:dyDescent="0.2">
      <c r="A11" s="9">
        <v>7</v>
      </c>
      <c r="B11" s="9" t="s">
        <v>90</v>
      </c>
      <c r="C11" s="9" t="s">
        <v>91</v>
      </c>
      <c r="D11" s="9" t="s">
        <v>92</v>
      </c>
      <c r="E11" s="9" t="s">
        <v>93</v>
      </c>
      <c r="F11" s="9" t="s">
        <v>94</v>
      </c>
      <c r="G11" s="9" t="s">
        <v>95</v>
      </c>
      <c r="H11" s="9" t="s">
        <v>96</v>
      </c>
    </row>
    <row r="12" spans="1:8" ht="48" customHeight="1" x14ac:dyDescent="0.2">
      <c r="A12" s="10">
        <v>8</v>
      </c>
      <c r="B12" s="10" t="s">
        <v>97</v>
      </c>
      <c r="C12" s="10" t="s">
        <v>98</v>
      </c>
      <c r="D12" s="10" t="s">
        <v>99</v>
      </c>
      <c r="E12" s="10" t="s">
        <v>100</v>
      </c>
      <c r="F12" s="10" t="s">
        <v>101</v>
      </c>
      <c r="G12" s="10" t="s">
        <v>102</v>
      </c>
      <c r="H12" s="10" t="s">
        <v>103</v>
      </c>
    </row>
  </sheetData>
  <autoFilter ref="A4:H12" xr:uid="{00000000-0009-0000-0000-000001000000}"/>
  <mergeCells count="2">
    <mergeCell ref="A2:H2"/>
    <mergeCell ref="A1:H1"/>
  </mergeCells>
  <pageMargins left="0.75" right="0.75" top="1" bottom="1"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8200"/>
    <pageSetUpPr fitToPage="1"/>
  </sheetPr>
  <dimension ref="A1:T16"/>
  <sheetViews>
    <sheetView workbookViewId="0">
      <pane ySplit="4" topLeftCell="A5" activePane="bottomLeft" state="frozen"/>
      <selection pane="bottomLeft"/>
    </sheetView>
  </sheetViews>
  <sheetFormatPr defaultRowHeight="15" x14ac:dyDescent="0.2"/>
  <cols>
    <col min="1" max="1" width="11.97265625" customWidth="1"/>
    <col min="2" max="2" width="13.98828125" customWidth="1"/>
    <col min="3" max="3" width="23.9453125" customWidth="1"/>
    <col min="4" max="4" width="27.98046875" customWidth="1"/>
    <col min="5" max="5" width="22.05859375" customWidth="1"/>
    <col min="6" max="6" width="27.98046875" customWidth="1"/>
    <col min="7" max="7" width="22.05859375" customWidth="1"/>
    <col min="8" max="8" width="11.97265625" customWidth="1"/>
    <col min="9" max="9" width="9.953125" customWidth="1"/>
    <col min="10" max="10" width="36.05078125" customWidth="1"/>
    <col min="11" max="12" width="13.98828125" customWidth="1"/>
    <col min="13" max="13" width="18.0234375" customWidth="1"/>
    <col min="14" max="14" width="22.05859375" customWidth="1"/>
    <col min="15" max="16" width="13.98828125" customWidth="1"/>
    <col min="17" max="17" width="22.05859375" customWidth="1"/>
    <col min="18" max="18" width="11.97265625" customWidth="1"/>
    <col min="19" max="19" width="22.05859375" customWidth="1"/>
    <col min="20" max="20" width="13.98828125" customWidth="1"/>
  </cols>
  <sheetData>
    <row r="1" spans="1:20" ht="21" x14ac:dyDescent="0.3">
      <c r="A1" s="36" t="s">
        <v>104</v>
      </c>
      <c r="B1" s="29"/>
      <c r="C1" s="29"/>
      <c r="D1" s="29"/>
      <c r="E1" s="29"/>
      <c r="F1" s="29"/>
      <c r="G1" s="29"/>
      <c r="H1" s="29"/>
      <c r="I1" s="29"/>
      <c r="J1" s="29"/>
      <c r="K1" s="29"/>
      <c r="L1" s="29"/>
      <c r="M1" s="29"/>
      <c r="N1" s="29"/>
      <c r="O1" s="29"/>
      <c r="P1" s="29"/>
      <c r="Q1" s="29"/>
      <c r="R1" s="29"/>
      <c r="S1" s="29"/>
      <c r="T1" s="29"/>
    </row>
    <row r="2" spans="1:20" x14ac:dyDescent="0.2">
      <c r="A2" s="35" t="s">
        <v>105</v>
      </c>
      <c r="B2" s="29"/>
      <c r="C2" s="29"/>
      <c r="D2" s="29"/>
      <c r="E2" s="29"/>
      <c r="F2" s="29"/>
      <c r="G2" s="29"/>
      <c r="H2" s="29"/>
      <c r="I2" s="29"/>
      <c r="J2" s="29"/>
      <c r="K2" s="29"/>
      <c r="L2" s="29"/>
      <c r="M2" s="29"/>
      <c r="N2" s="29"/>
      <c r="O2" s="29"/>
      <c r="P2" s="29"/>
      <c r="Q2" s="29"/>
      <c r="R2" s="29"/>
      <c r="S2" s="29"/>
      <c r="T2" s="29"/>
    </row>
    <row r="4" spans="1:20" ht="32.1" customHeight="1" x14ac:dyDescent="0.2">
      <c r="A4" s="8" t="s">
        <v>106</v>
      </c>
      <c r="B4" s="8" t="s">
        <v>107</v>
      </c>
      <c r="C4" s="8" t="s">
        <v>108</v>
      </c>
      <c r="D4" s="8" t="s">
        <v>109</v>
      </c>
      <c r="E4" s="8" t="s">
        <v>110</v>
      </c>
      <c r="F4" s="8" t="s">
        <v>111</v>
      </c>
      <c r="G4" s="8" t="s">
        <v>112</v>
      </c>
      <c r="H4" s="8" t="s">
        <v>113</v>
      </c>
      <c r="I4" s="8" t="s">
        <v>114</v>
      </c>
      <c r="J4" s="8" t="s">
        <v>115</v>
      </c>
      <c r="K4" s="8" t="s">
        <v>116</v>
      </c>
      <c r="L4" s="8" t="s">
        <v>117</v>
      </c>
      <c r="M4" s="8" t="s">
        <v>118</v>
      </c>
      <c r="N4" s="8" t="s">
        <v>119</v>
      </c>
      <c r="O4" s="8" t="s">
        <v>120</v>
      </c>
      <c r="P4" s="8" t="s">
        <v>121</v>
      </c>
      <c r="Q4" s="8" t="s">
        <v>122</v>
      </c>
      <c r="R4" s="8" t="s">
        <v>123</v>
      </c>
      <c r="S4" s="8" t="s">
        <v>124</v>
      </c>
      <c r="T4" s="8" t="s">
        <v>125</v>
      </c>
    </row>
    <row r="5" spans="1:20" ht="36" customHeight="1" x14ac:dyDescent="0.2">
      <c r="A5" s="9" t="s">
        <v>126</v>
      </c>
      <c r="B5" s="11">
        <v>46297</v>
      </c>
      <c r="C5" s="9" t="s">
        <v>62</v>
      </c>
      <c r="D5" s="9" t="s">
        <v>127</v>
      </c>
      <c r="E5" s="9" t="s">
        <v>128</v>
      </c>
      <c r="F5" s="9" t="s">
        <v>129</v>
      </c>
      <c r="G5" s="9" t="s">
        <v>130</v>
      </c>
      <c r="H5" s="9" t="s">
        <v>131</v>
      </c>
      <c r="I5" s="9">
        <f>IF(H5="Urgent",4,IF(H5="High",3,IF(H5="Medium",2,IF(H5="Low",1,""))))</f>
        <v>3</v>
      </c>
      <c r="J5" s="9" t="s">
        <v>132</v>
      </c>
      <c r="K5" s="11">
        <v>46301</v>
      </c>
      <c r="L5" s="9">
        <f ca="1">IF(B5="","",IF(Q5&lt;&gt;"",Q5-B5,TODAY()-B5))</f>
        <v>23</v>
      </c>
      <c r="M5" s="9" t="s">
        <v>133</v>
      </c>
      <c r="N5" s="9" t="s">
        <v>134</v>
      </c>
      <c r="O5" s="9" t="s">
        <v>135</v>
      </c>
      <c r="P5" s="9" t="s">
        <v>136</v>
      </c>
      <c r="Q5" s="9"/>
      <c r="R5" s="9" t="s">
        <v>137</v>
      </c>
      <c r="S5" s="9" t="s">
        <v>138</v>
      </c>
      <c r="T5" s="9" t="s">
        <v>139</v>
      </c>
    </row>
    <row r="6" spans="1:20" ht="36" customHeight="1" x14ac:dyDescent="0.2">
      <c r="A6" s="10" t="s">
        <v>140</v>
      </c>
      <c r="B6" s="12">
        <v>46298</v>
      </c>
      <c r="C6" s="10" t="s">
        <v>55</v>
      </c>
      <c r="D6" s="10" t="s">
        <v>141</v>
      </c>
      <c r="E6" s="10" t="s">
        <v>142</v>
      </c>
      <c r="F6" s="10" t="s">
        <v>143</v>
      </c>
      <c r="G6" s="10" t="s">
        <v>144</v>
      </c>
      <c r="H6" s="10" t="s">
        <v>145</v>
      </c>
      <c r="I6" s="10">
        <f>IF(H6="Urgent",4,IF(H6="High",3,IF(H6="Medium",2,IF(H6="Low",1,""))))</f>
        <v>2</v>
      </c>
      <c r="J6" s="10" t="s">
        <v>146</v>
      </c>
      <c r="K6" s="12">
        <v>46302</v>
      </c>
      <c r="L6" s="10">
        <f ca="1">IF(B6="","",IF(Q6&lt;&gt;"",Q6-B6,TODAY()-B6))</f>
        <v>22</v>
      </c>
      <c r="M6" s="10" t="s">
        <v>147</v>
      </c>
      <c r="N6" s="10" t="s">
        <v>148</v>
      </c>
      <c r="O6" s="10" t="s">
        <v>149</v>
      </c>
      <c r="P6" s="10" t="s">
        <v>150</v>
      </c>
      <c r="Q6" s="10"/>
      <c r="R6" s="10" t="s">
        <v>151</v>
      </c>
      <c r="S6" s="10" t="s">
        <v>138</v>
      </c>
      <c r="T6" s="10" t="s">
        <v>139</v>
      </c>
    </row>
    <row r="7" spans="1:20" ht="36" customHeight="1" x14ac:dyDescent="0.2">
      <c r="A7" s="9" t="s">
        <v>152</v>
      </c>
      <c r="B7" s="11">
        <v>46299</v>
      </c>
      <c r="C7" s="9" t="s">
        <v>69</v>
      </c>
      <c r="D7" s="9" t="s">
        <v>153</v>
      </c>
      <c r="E7" s="9" t="s">
        <v>154</v>
      </c>
      <c r="F7" s="9" t="s">
        <v>155</v>
      </c>
      <c r="G7" s="9" t="s">
        <v>156</v>
      </c>
      <c r="H7" s="9" t="s">
        <v>131</v>
      </c>
      <c r="I7" s="9">
        <f>IF(H7="Urgent",4,IF(H7="High",3,IF(H7="Medium",2,IF(H7="Low",1,""))))</f>
        <v>3</v>
      </c>
      <c r="J7" s="9" t="s">
        <v>157</v>
      </c>
      <c r="K7" s="11">
        <v>46301</v>
      </c>
      <c r="L7" s="9">
        <f ca="1">IF(B7="","",IF(Q7&lt;&gt;"",Q7-B7,TODAY()-B7))</f>
        <v>21</v>
      </c>
      <c r="M7" s="9" t="s">
        <v>158</v>
      </c>
      <c r="N7" s="9" t="s">
        <v>134</v>
      </c>
      <c r="O7" s="9" t="s">
        <v>159</v>
      </c>
      <c r="P7" s="9" t="s">
        <v>136</v>
      </c>
      <c r="Q7" s="9"/>
      <c r="R7" s="9" t="s">
        <v>160</v>
      </c>
      <c r="S7" s="9" t="s">
        <v>138</v>
      </c>
      <c r="T7" s="9" t="s">
        <v>139</v>
      </c>
    </row>
    <row r="8" spans="1:20" ht="36" customHeight="1" x14ac:dyDescent="0.2">
      <c r="A8" s="10" t="s">
        <v>161</v>
      </c>
      <c r="B8" s="12">
        <v>46300</v>
      </c>
      <c r="C8" s="10" t="s">
        <v>62</v>
      </c>
      <c r="D8" s="10" t="s">
        <v>162</v>
      </c>
      <c r="E8" s="10" t="s">
        <v>128</v>
      </c>
      <c r="F8" s="10" t="s">
        <v>163</v>
      </c>
      <c r="G8" s="10" t="s">
        <v>130</v>
      </c>
      <c r="H8" s="10" t="s">
        <v>145</v>
      </c>
      <c r="I8" s="10">
        <f>IF(H8="Urgent",4,IF(H8="High",3,IF(H8="Medium",2,IF(H8="Low",1,""))))</f>
        <v>2</v>
      </c>
      <c r="J8" s="10" t="s">
        <v>164</v>
      </c>
      <c r="K8" s="12">
        <v>46303</v>
      </c>
      <c r="L8" s="10">
        <f ca="1">IF(B8="","",IF(Q8&lt;&gt;"",Q8-B8,TODAY()-B8))</f>
        <v>20</v>
      </c>
      <c r="M8" s="10" t="s">
        <v>165</v>
      </c>
      <c r="N8" s="10" t="s">
        <v>148</v>
      </c>
      <c r="O8" s="10" t="s">
        <v>166</v>
      </c>
      <c r="P8" s="10" t="s">
        <v>150</v>
      </c>
      <c r="Q8" s="10"/>
      <c r="R8" s="10" t="s">
        <v>167</v>
      </c>
      <c r="S8" s="10" t="s">
        <v>138</v>
      </c>
      <c r="T8" s="10" t="s">
        <v>139</v>
      </c>
    </row>
    <row r="9" spans="1:20" ht="36" customHeight="1" x14ac:dyDescent="0.2">
      <c r="A9" s="9" t="s">
        <v>168</v>
      </c>
      <c r="B9" s="11">
        <v>46300</v>
      </c>
      <c r="C9" s="9" t="s">
        <v>76</v>
      </c>
      <c r="D9" s="9" t="s">
        <v>169</v>
      </c>
      <c r="E9" s="9" t="s">
        <v>170</v>
      </c>
      <c r="F9" s="9" t="s">
        <v>171</v>
      </c>
      <c r="G9" s="9" t="s">
        <v>172</v>
      </c>
      <c r="H9" s="9" t="s">
        <v>145</v>
      </c>
      <c r="I9" s="9">
        <f>IF(H9="Urgent",4,IF(H9="High",3,IF(H9="Medium",2,IF(H9="Low",1,""))))</f>
        <v>2</v>
      </c>
      <c r="J9" s="9" t="s">
        <v>173</v>
      </c>
      <c r="K9" s="11">
        <v>46302</v>
      </c>
      <c r="L9" s="9">
        <f ca="1">IF(B9="","",IF(Q9&lt;&gt;"",Q9-B9,TODAY()-B9))</f>
        <v>20</v>
      </c>
      <c r="M9" s="9" t="s">
        <v>174</v>
      </c>
      <c r="N9" s="9" t="s">
        <v>175</v>
      </c>
      <c r="O9" s="9" t="s">
        <v>166</v>
      </c>
      <c r="P9" s="9" t="s">
        <v>136</v>
      </c>
      <c r="Q9" s="9"/>
      <c r="R9" s="9" t="s">
        <v>176</v>
      </c>
      <c r="S9" s="9" t="s">
        <v>138</v>
      </c>
      <c r="T9" s="9" t="s">
        <v>139</v>
      </c>
    </row>
    <row r="10" spans="1:20" ht="36" customHeight="1" x14ac:dyDescent="0.2">
      <c r="A10" s="10" t="s">
        <v>177</v>
      </c>
      <c r="B10" s="12">
        <v>46301</v>
      </c>
      <c r="C10" s="10" t="s">
        <v>83</v>
      </c>
      <c r="D10" s="10" t="s">
        <v>178</v>
      </c>
      <c r="E10" s="10" t="s">
        <v>179</v>
      </c>
      <c r="F10" s="10" t="s">
        <v>180</v>
      </c>
      <c r="G10" s="10" t="s">
        <v>181</v>
      </c>
      <c r="H10" s="10" t="s">
        <v>131</v>
      </c>
      <c r="I10" s="10">
        <f>IF(H10="Urgent",4,IF(H10="High",3,IF(H10="Medium",2,IF(H10="Low",1,""))))</f>
        <v>3</v>
      </c>
      <c r="J10" s="10" t="s">
        <v>182</v>
      </c>
      <c r="K10" s="12">
        <v>46301</v>
      </c>
      <c r="L10" s="10">
        <f ca="1">IF(B10="","",IF(Q10&lt;&gt;"",Q10-B10,TODAY()-B10))</f>
        <v>0</v>
      </c>
      <c r="M10" s="10" t="s">
        <v>183</v>
      </c>
      <c r="N10" s="10" t="s">
        <v>134</v>
      </c>
      <c r="O10" s="10" t="s">
        <v>184</v>
      </c>
      <c r="P10" s="10" t="s">
        <v>185</v>
      </c>
      <c r="Q10" s="12">
        <v>46301</v>
      </c>
      <c r="R10" s="10" t="s">
        <v>186</v>
      </c>
      <c r="S10" s="10" t="s">
        <v>187</v>
      </c>
      <c r="T10" s="10" t="s">
        <v>139</v>
      </c>
    </row>
    <row r="11" spans="1:20" ht="36" customHeight="1" x14ac:dyDescent="0.2">
      <c r="A11" s="9" t="s">
        <v>188</v>
      </c>
      <c r="B11" s="11">
        <v>46302</v>
      </c>
      <c r="C11" s="9" t="s">
        <v>55</v>
      </c>
      <c r="D11" s="9" t="s">
        <v>189</v>
      </c>
      <c r="E11" s="9" t="s">
        <v>128</v>
      </c>
      <c r="F11" s="9" t="s">
        <v>190</v>
      </c>
      <c r="G11" s="9" t="s">
        <v>144</v>
      </c>
      <c r="H11" s="9" t="s">
        <v>191</v>
      </c>
      <c r="I11" s="9">
        <f>IF(H11="Urgent",4,IF(H11="High",3,IF(H11="Medium",2,IF(H11="Low",1,""))))</f>
        <v>1</v>
      </c>
      <c r="J11" s="9" t="s">
        <v>192</v>
      </c>
      <c r="K11" s="11">
        <v>46304</v>
      </c>
      <c r="L11" s="9">
        <f ca="1">IF(B11="","",IF(Q11&lt;&gt;"",Q11-B11,TODAY()-B11))</f>
        <v>1</v>
      </c>
      <c r="M11" s="9" t="s">
        <v>193</v>
      </c>
      <c r="N11" s="9" t="s">
        <v>148</v>
      </c>
      <c r="O11" s="9" t="s">
        <v>149</v>
      </c>
      <c r="P11" s="9" t="s">
        <v>185</v>
      </c>
      <c r="Q11" s="11">
        <v>46303</v>
      </c>
      <c r="R11" s="9" t="s">
        <v>194</v>
      </c>
      <c r="S11" s="9" t="s">
        <v>187</v>
      </c>
      <c r="T11" s="9" t="s">
        <v>139</v>
      </c>
    </row>
    <row r="12" spans="1:20" ht="36" customHeight="1" x14ac:dyDescent="0.2">
      <c r="A12" s="10" t="s">
        <v>195</v>
      </c>
      <c r="B12" s="12">
        <v>46303</v>
      </c>
      <c r="C12" s="10" t="s">
        <v>62</v>
      </c>
      <c r="D12" s="10" t="s">
        <v>196</v>
      </c>
      <c r="E12" s="10" t="s">
        <v>197</v>
      </c>
      <c r="F12" s="10" t="s">
        <v>198</v>
      </c>
      <c r="G12" s="10" t="s">
        <v>130</v>
      </c>
      <c r="H12" s="10" t="s">
        <v>131</v>
      </c>
      <c r="I12" s="10">
        <f>IF(H12="Urgent",4,IF(H12="High",3,IF(H12="Medium",2,IF(H12="Low",1,""))))</f>
        <v>3</v>
      </c>
      <c r="J12" s="10" t="s">
        <v>199</v>
      </c>
      <c r="K12" s="12">
        <v>46304</v>
      </c>
      <c r="L12" s="10">
        <f ca="1">IF(B12="","",IF(Q12&lt;&gt;"",Q12-B12,TODAY()-B12))</f>
        <v>17</v>
      </c>
      <c r="M12" s="10" t="s">
        <v>200</v>
      </c>
      <c r="N12" s="10" t="s">
        <v>134</v>
      </c>
      <c r="O12" s="10" t="s">
        <v>201</v>
      </c>
      <c r="P12" s="10" t="s">
        <v>136</v>
      </c>
      <c r="Q12" s="10"/>
      <c r="R12" s="10" t="s">
        <v>202</v>
      </c>
      <c r="S12" s="10" t="s">
        <v>138</v>
      </c>
      <c r="T12" s="10" t="s">
        <v>139</v>
      </c>
    </row>
    <row r="13" spans="1:20" ht="36" customHeight="1" x14ac:dyDescent="0.2">
      <c r="A13" s="9" t="s">
        <v>203</v>
      </c>
      <c r="B13" s="11">
        <v>46304</v>
      </c>
      <c r="C13" s="9" t="s">
        <v>69</v>
      </c>
      <c r="D13" s="9" t="s">
        <v>204</v>
      </c>
      <c r="E13" s="9" t="s">
        <v>205</v>
      </c>
      <c r="F13" s="9" t="s">
        <v>206</v>
      </c>
      <c r="G13" s="9" t="s">
        <v>156</v>
      </c>
      <c r="H13" s="9" t="s">
        <v>145</v>
      </c>
      <c r="I13" s="9">
        <f>IF(H13="Urgent",4,IF(H13="High",3,IF(H13="Medium",2,IF(H13="Low",1,""))))</f>
        <v>2</v>
      </c>
      <c r="J13" s="9" t="s">
        <v>207</v>
      </c>
      <c r="K13" s="11">
        <v>46307</v>
      </c>
      <c r="L13" s="9">
        <f ca="1">IF(B13="","",IF(Q13&lt;&gt;"",Q13-B13,TODAY()-B13))</f>
        <v>16</v>
      </c>
      <c r="M13" s="9" t="s">
        <v>208</v>
      </c>
      <c r="N13" s="9" t="s">
        <v>148</v>
      </c>
      <c r="O13" s="9" t="s">
        <v>149</v>
      </c>
      <c r="P13" s="9" t="s">
        <v>150</v>
      </c>
      <c r="Q13" s="9"/>
      <c r="R13" s="9" t="s">
        <v>209</v>
      </c>
      <c r="S13" s="9" t="s">
        <v>138</v>
      </c>
      <c r="T13" s="9" t="s">
        <v>139</v>
      </c>
    </row>
    <row r="14" spans="1:20" ht="36" customHeight="1" x14ac:dyDescent="0.2">
      <c r="A14" s="10" t="s">
        <v>210</v>
      </c>
      <c r="B14" s="12">
        <v>46305</v>
      </c>
      <c r="C14" s="10" t="s">
        <v>76</v>
      </c>
      <c r="D14" s="10" t="s">
        <v>211</v>
      </c>
      <c r="E14" s="10" t="s">
        <v>170</v>
      </c>
      <c r="F14" s="10" t="s">
        <v>212</v>
      </c>
      <c r="G14" s="10" t="s">
        <v>172</v>
      </c>
      <c r="H14" s="10" t="s">
        <v>145</v>
      </c>
      <c r="I14" s="10">
        <f>IF(H14="Urgent",4,IF(H14="High",3,IF(H14="Medium",2,IF(H14="Low",1,""))))</f>
        <v>2</v>
      </c>
      <c r="J14" s="10" t="s">
        <v>213</v>
      </c>
      <c r="K14" s="12">
        <v>46308</v>
      </c>
      <c r="L14" s="10">
        <f ca="1">IF(B14="","",IF(Q14&lt;&gt;"",Q14-B14,TODAY()-B14))</f>
        <v>15</v>
      </c>
      <c r="M14" s="10" t="s">
        <v>214</v>
      </c>
      <c r="N14" s="10" t="s">
        <v>175</v>
      </c>
      <c r="O14" s="10" t="s">
        <v>166</v>
      </c>
      <c r="P14" s="10" t="s">
        <v>150</v>
      </c>
      <c r="Q14" s="10"/>
      <c r="R14" s="10" t="s">
        <v>215</v>
      </c>
      <c r="S14" s="10" t="s">
        <v>138</v>
      </c>
      <c r="T14" s="10" t="s">
        <v>139</v>
      </c>
    </row>
    <row r="15" spans="1:20" ht="36" customHeight="1" x14ac:dyDescent="0.2">
      <c r="A15" s="9" t="s">
        <v>216</v>
      </c>
      <c r="B15" s="11">
        <v>46306</v>
      </c>
      <c r="C15" s="9" t="s">
        <v>83</v>
      </c>
      <c r="D15" s="9" t="s">
        <v>217</v>
      </c>
      <c r="E15" s="9" t="s">
        <v>218</v>
      </c>
      <c r="F15" s="9" t="s">
        <v>219</v>
      </c>
      <c r="G15" s="9" t="s">
        <v>181</v>
      </c>
      <c r="H15" s="9" t="s">
        <v>191</v>
      </c>
      <c r="I15" s="9">
        <f>IF(H15="Urgent",4,IF(H15="High",3,IF(H15="Medium",2,IF(H15="Low",1,""))))</f>
        <v>1</v>
      </c>
      <c r="J15" s="9" t="s">
        <v>220</v>
      </c>
      <c r="K15" s="11">
        <v>46309</v>
      </c>
      <c r="L15" s="9">
        <f ca="1">IF(B15="","",IF(Q15&lt;&gt;"",Q15-B15,TODAY()-B15))</f>
        <v>14</v>
      </c>
      <c r="M15" s="9" t="s">
        <v>221</v>
      </c>
      <c r="N15" s="9" t="s">
        <v>148</v>
      </c>
      <c r="O15" s="9" t="s">
        <v>149</v>
      </c>
      <c r="P15" s="9" t="s">
        <v>150</v>
      </c>
      <c r="Q15" s="9"/>
      <c r="R15" s="9" t="s">
        <v>222</v>
      </c>
      <c r="S15" s="9" t="s">
        <v>138</v>
      </c>
      <c r="T15" s="9" t="s">
        <v>139</v>
      </c>
    </row>
    <row r="16" spans="1:20" ht="36" customHeight="1" x14ac:dyDescent="0.2">
      <c r="A16" s="10" t="s">
        <v>223</v>
      </c>
      <c r="B16" s="12">
        <v>46307</v>
      </c>
      <c r="C16" s="10" t="s">
        <v>97</v>
      </c>
      <c r="D16" s="10" t="s">
        <v>224</v>
      </c>
      <c r="E16" s="10" t="s">
        <v>225</v>
      </c>
      <c r="F16" s="10" t="s">
        <v>226</v>
      </c>
      <c r="G16" s="10" t="s">
        <v>227</v>
      </c>
      <c r="H16" s="10" t="s">
        <v>131</v>
      </c>
      <c r="I16" s="10">
        <f>IF(H16="Urgent",4,IF(H16="High",3,IF(H16="Medium",2,IF(H16="Low",1,""))))</f>
        <v>3</v>
      </c>
      <c r="J16" s="10" t="s">
        <v>228</v>
      </c>
      <c r="K16" s="12">
        <v>46308</v>
      </c>
      <c r="L16" s="10">
        <f ca="1">IF(B16="","",IF(Q16&lt;&gt;"",Q16-B16,TODAY()-B16))</f>
        <v>1</v>
      </c>
      <c r="M16" s="10" t="s">
        <v>229</v>
      </c>
      <c r="N16" s="10" t="s">
        <v>134</v>
      </c>
      <c r="O16" s="10" t="s">
        <v>230</v>
      </c>
      <c r="P16" s="10" t="s">
        <v>185</v>
      </c>
      <c r="Q16" s="12">
        <v>46308</v>
      </c>
      <c r="R16" s="10" t="s">
        <v>231</v>
      </c>
      <c r="S16" s="10" t="s">
        <v>187</v>
      </c>
      <c r="T16" s="10" t="s">
        <v>139</v>
      </c>
    </row>
  </sheetData>
  <autoFilter ref="A4:T16" xr:uid="{00000000-0009-0000-0000-000002000000}"/>
  <mergeCells count="2">
    <mergeCell ref="A1:T1"/>
    <mergeCell ref="A2:T2"/>
  </mergeCells>
  <conditionalFormatting sqref="H5:H16">
    <cfRule type="expression" dxfId="7" priority="1">
      <formula>$H5="High"</formula>
    </cfRule>
    <cfRule type="expression" dxfId="6" priority="2">
      <formula>$H5="Medium"</formula>
    </cfRule>
    <cfRule type="expression" dxfId="5" priority="3">
      <formula>$H5="Low"</formula>
    </cfRule>
  </conditionalFormatting>
  <conditionalFormatting sqref="P5:P16">
    <cfRule type="expression" dxfId="4" priority="4">
      <formula>$P5="Closed"</formula>
    </cfRule>
    <cfRule type="expression" dxfId="3" priority="5">
      <formula>$P5="In Progress"</formula>
    </cfRule>
  </conditionalFormatting>
  <pageMargins left="0.75" right="0.75" top="1" bottom="1"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8200"/>
    <pageSetUpPr fitToPage="1"/>
  </sheetPr>
  <dimension ref="A1:F12"/>
  <sheetViews>
    <sheetView workbookViewId="0">
      <pane ySplit="4" topLeftCell="A5" activePane="bottomLeft" state="frozen"/>
      <selection pane="bottomLeft"/>
    </sheetView>
  </sheetViews>
  <sheetFormatPr defaultRowHeight="15" x14ac:dyDescent="0.2"/>
  <cols>
    <col min="1" max="1" width="7.93359375" customWidth="1"/>
    <col min="2" max="2" width="23.9453125" customWidth="1"/>
    <col min="3" max="3" width="48.0234375" customWidth="1"/>
    <col min="4" max="4" width="36.05078125" customWidth="1"/>
    <col min="5" max="5" width="22.05859375" customWidth="1"/>
    <col min="6" max="6" width="18.0234375" customWidth="1"/>
  </cols>
  <sheetData>
    <row r="1" spans="1:6" ht="21" x14ac:dyDescent="0.3">
      <c r="A1" s="36" t="s">
        <v>232</v>
      </c>
      <c r="B1" s="29"/>
      <c r="C1" s="29"/>
      <c r="D1" s="29"/>
      <c r="E1" s="29"/>
      <c r="F1" s="29"/>
    </row>
    <row r="2" spans="1:6" x14ac:dyDescent="0.2">
      <c r="A2" s="35" t="s">
        <v>233</v>
      </c>
      <c r="B2" s="29"/>
      <c r="C2" s="29"/>
      <c r="D2" s="29"/>
      <c r="E2" s="29"/>
      <c r="F2" s="29"/>
    </row>
    <row r="4" spans="1:6" x14ac:dyDescent="0.2">
      <c r="A4" s="8" t="s">
        <v>234</v>
      </c>
      <c r="B4" s="8" t="s">
        <v>235</v>
      </c>
      <c r="C4" s="8" t="s">
        <v>236</v>
      </c>
      <c r="D4" s="8" t="s">
        <v>237</v>
      </c>
      <c r="E4" s="8" t="s">
        <v>238</v>
      </c>
      <c r="F4" s="8" t="s">
        <v>8</v>
      </c>
    </row>
    <row r="5" spans="1:6" ht="36" customHeight="1" x14ac:dyDescent="0.2">
      <c r="A5" s="13">
        <v>1</v>
      </c>
      <c r="B5" s="13" t="s">
        <v>239</v>
      </c>
      <c r="C5" s="13" t="s">
        <v>240</v>
      </c>
      <c r="D5" s="13" t="s">
        <v>241</v>
      </c>
      <c r="E5" s="13" t="s">
        <v>242</v>
      </c>
      <c r="F5" s="13" t="s">
        <v>243</v>
      </c>
    </row>
    <row r="6" spans="1:6" ht="36" customHeight="1" x14ac:dyDescent="0.2">
      <c r="A6" s="14">
        <v>2</v>
      </c>
      <c r="B6" s="14" t="s">
        <v>244</v>
      </c>
      <c r="C6" s="14" t="s">
        <v>245</v>
      </c>
      <c r="D6" s="14" t="s">
        <v>246</v>
      </c>
      <c r="E6" s="14" t="s">
        <v>247</v>
      </c>
      <c r="F6" s="14" t="s">
        <v>243</v>
      </c>
    </row>
    <row r="7" spans="1:6" ht="36" customHeight="1" x14ac:dyDescent="0.2">
      <c r="A7" s="13">
        <v>3</v>
      </c>
      <c r="B7" s="13" t="s">
        <v>248</v>
      </c>
      <c r="C7" s="13" t="s">
        <v>249</v>
      </c>
      <c r="D7" s="13" t="s">
        <v>250</v>
      </c>
      <c r="E7" s="13" t="s">
        <v>251</v>
      </c>
      <c r="F7" s="13" t="s">
        <v>243</v>
      </c>
    </row>
    <row r="8" spans="1:6" ht="36" customHeight="1" x14ac:dyDescent="0.2">
      <c r="A8" s="14">
        <v>4</v>
      </c>
      <c r="B8" s="14" t="s">
        <v>252</v>
      </c>
      <c r="C8" s="14" t="s">
        <v>253</v>
      </c>
      <c r="D8" s="14" t="s">
        <v>254</v>
      </c>
      <c r="E8" s="14" t="s">
        <v>255</v>
      </c>
      <c r="F8" s="14" t="s">
        <v>243</v>
      </c>
    </row>
    <row r="9" spans="1:6" ht="36" customHeight="1" x14ac:dyDescent="0.2">
      <c r="A9" s="13">
        <v>5</v>
      </c>
      <c r="B9" s="13" t="s">
        <v>256</v>
      </c>
      <c r="C9" s="13" t="s">
        <v>257</v>
      </c>
      <c r="D9" s="13" t="s">
        <v>258</v>
      </c>
      <c r="E9" s="13" t="s">
        <v>259</v>
      </c>
      <c r="F9" s="13" t="s">
        <v>243</v>
      </c>
    </row>
    <row r="10" spans="1:6" ht="36" customHeight="1" x14ac:dyDescent="0.2">
      <c r="A10" s="14">
        <v>6</v>
      </c>
      <c r="B10" s="14" t="s">
        <v>260</v>
      </c>
      <c r="C10" s="14" t="s">
        <v>261</v>
      </c>
      <c r="D10" s="14" t="s">
        <v>262</v>
      </c>
      <c r="E10" s="14" t="s">
        <v>263</v>
      </c>
      <c r="F10" s="14" t="s">
        <v>243</v>
      </c>
    </row>
    <row r="11" spans="1:6" ht="36" customHeight="1" x14ac:dyDescent="0.2">
      <c r="A11" s="13">
        <v>7</v>
      </c>
      <c r="B11" s="13" t="s">
        <v>264</v>
      </c>
      <c r="C11" s="13" t="s">
        <v>265</v>
      </c>
      <c r="D11" s="13" t="s">
        <v>266</v>
      </c>
      <c r="E11" s="13" t="s">
        <v>267</v>
      </c>
      <c r="F11" s="13" t="s">
        <v>243</v>
      </c>
    </row>
    <row r="12" spans="1:6" ht="36" customHeight="1" x14ac:dyDescent="0.2">
      <c r="A12" s="14">
        <v>8</v>
      </c>
      <c r="B12" s="14" t="s">
        <v>268</v>
      </c>
      <c r="C12" s="14" t="s">
        <v>269</v>
      </c>
      <c r="D12" s="14" t="s">
        <v>270</v>
      </c>
      <c r="E12" s="14" t="s">
        <v>271</v>
      </c>
      <c r="F12" s="14" t="s">
        <v>243</v>
      </c>
    </row>
  </sheetData>
  <mergeCells count="2">
    <mergeCell ref="A2:F2"/>
    <mergeCell ref="A1:F1"/>
  </mergeCells>
  <pageMargins left="0.75" right="0.75" top="1" bottom="1" header="0.5" footer="0.5"/>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8200"/>
    <pageSetUpPr fitToPage="1"/>
  </sheetPr>
  <dimension ref="A1:E11"/>
  <sheetViews>
    <sheetView workbookViewId="0">
      <pane ySplit="4" topLeftCell="A5" activePane="bottomLeft" state="frozen"/>
      <selection pane="bottomLeft"/>
    </sheetView>
  </sheetViews>
  <sheetFormatPr defaultRowHeight="15" x14ac:dyDescent="0.2"/>
  <cols>
    <col min="1" max="1" width="27.98046875" customWidth="1"/>
    <col min="2" max="3" width="22.05859375" customWidth="1"/>
    <col min="4" max="4" width="36.05078125" customWidth="1"/>
    <col min="5" max="5" width="27.98046875" customWidth="1"/>
  </cols>
  <sheetData>
    <row r="1" spans="1:5" ht="21" x14ac:dyDescent="0.3">
      <c r="A1" s="36" t="s">
        <v>272</v>
      </c>
      <c r="B1" s="29"/>
      <c r="C1" s="29"/>
      <c r="D1" s="29"/>
      <c r="E1" s="29"/>
    </row>
    <row r="2" spans="1:5" x14ac:dyDescent="0.2">
      <c r="A2" s="35" t="s">
        <v>273</v>
      </c>
      <c r="B2" s="29"/>
      <c r="C2" s="29"/>
      <c r="D2" s="29"/>
      <c r="E2" s="29"/>
    </row>
    <row r="4" spans="1:5" x14ac:dyDescent="0.2">
      <c r="A4" s="8" t="s">
        <v>274</v>
      </c>
      <c r="B4" s="8" t="s">
        <v>275</v>
      </c>
      <c r="C4" s="8" t="s">
        <v>276</v>
      </c>
      <c r="D4" s="8" t="s">
        <v>277</v>
      </c>
      <c r="E4" s="8" t="s">
        <v>278</v>
      </c>
    </row>
    <row r="5" spans="1:5" ht="27.95" customHeight="1" x14ac:dyDescent="0.2">
      <c r="A5" s="13" t="s">
        <v>279</v>
      </c>
      <c r="B5" s="13" t="s">
        <v>145</v>
      </c>
      <c r="C5" s="13" t="s">
        <v>131</v>
      </c>
      <c r="D5" s="13" t="s">
        <v>62</v>
      </c>
      <c r="E5" s="13" t="s">
        <v>280</v>
      </c>
    </row>
    <row r="6" spans="1:5" ht="27.95" customHeight="1" x14ac:dyDescent="0.2">
      <c r="A6" s="14" t="s">
        <v>281</v>
      </c>
      <c r="B6" s="14" t="s">
        <v>131</v>
      </c>
      <c r="C6" s="14" t="s">
        <v>145</v>
      </c>
      <c r="D6" s="14" t="s">
        <v>282</v>
      </c>
      <c r="E6" s="14" t="s">
        <v>283</v>
      </c>
    </row>
    <row r="7" spans="1:5" ht="27.95" customHeight="1" x14ac:dyDescent="0.2">
      <c r="A7" s="13" t="s">
        <v>196</v>
      </c>
      <c r="B7" s="13" t="s">
        <v>145</v>
      </c>
      <c r="C7" s="13" t="s">
        <v>131</v>
      </c>
      <c r="D7" s="13" t="s">
        <v>284</v>
      </c>
      <c r="E7" s="13" t="s">
        <v>285</v>
      </c>
    </row>
    <row r="8" spans="1:5" ht="27.95" customHeight="1" x14ac:dyDescent="0.2">
      <c r="A8" s="14" t="s">
        <v>204</v>
      </c>
      <c r="B8" s="14" t="s">
        <v>145</v>
      </c>
      <c r="C8" s="14" t="s">
        <v>145</v>
      </c>
      <c r="D8" s="14" t="s">
        <v>69</v>
      </c>
      <c r="E8" s="14" t="s">
        <v>286</v>
      </c>
    </row>
    <row r="9" spans="1:5" ht="27.95" customHeight="1" x14ac:dyDescent="0.2">
      <c r="A9" s="13" t="s">
        <v>287</v>
      </c>
      <c r="B9" s="13" t="s">
        <v>131</v>
      </c>
      <c r="C9" s="13" t="s">
        <v>145</v>
      </c>
      <c r="D9" s="13" t="s">
        <v>83</v>
      </c>
      <c r="E9" s="13" t="s">
        <v>288</v>
      </c>
    </row>
    <row r="10" spans="1:5" ht="27.95" customHeight="1" x14ac:dyDescent="0.2">
      <c r="A10" s="14" t="s">
        <v>289</v>
      </c>
      <c r="B10" s="14" t="s">
        <v>191</v>
      </c>
      <c r="C10" s="14" t="s">
        <v>131</v>
      </c>
      <c r="D10" s="14" t="s">
        <v>97</v>
      </c>
      <c r="E10" s="14" t="s">
        <v>290</v>
      </c>
    </row>
    <row r="11" spans="1:5" ht="27.95" customHeight="1" x14ac:dyDescent="0.2">
      <c r="A11" s="13" t="s">
        <v>291</v>
      </c>
      <c r="B11" s="13" t="s">
        <v>145</v>
      </c>
      <c r="C11" s="13" t="s">
        <v>131</v>
      </c>
      <c r="D11" s="13" t="s">
        <v>292</v>
      </c>
      <c r="E11" s="13" t="s">
        <v>293</v>
      </c>
    </row>
  </sheetData>
  <mergeCells count="2">
    <mergeCell ref="A2:E2"/>
    <mergeCell ref="A1:E1"/>
  </mergeCells>
  <conditionalFormatting sqref="C5:C11">
    <cfRule type="expression" dxfId="2" priority="1">
      <formula>$C5="High"</formula>
    </cfRule>
    <cfRule type="expression" dxfId="1" priority="2">
      <formula>$C5="Medium"</formula>
    </cfRule>
    <cfRule type="expression" dxfId="0" priority="3">
      <formula>$C5="Low"</formula>
    </cfRule>
  </conditionalFormatting>
  <pageMargins left="0.75" right="0.75" top="1" bottom="1" header="0.5" footer="0.5"/>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8200"/>
    <pageSetUpPr fitToPage="1"/>
  </sheetPr>
  <dimension ref="A1:H11"/>
  <sheetViews>
    <sheetView workbookViewId="0"/>
  </sheetViews>
  <sheetFormatPr defaultRowHeight="15" x14ac:dyDescent="0.2"/>
  <cols>
    <col min="1" max="1" width="32.015625" customWidth="1"/>
    <col min="2" max="2" width="13.98828125" customWidth="1"/>
    <col min="3" max="3" width="7.93359375" customWidth="1"/>
    <col min="4" max="4" width="27.98046875" customWidth="1"/>
    <col min="5" max="5" width="13.98828125" customWidth="1"/>
    <col min="6" max="6" width="7.93359375" customWidth="1"/>
    <col min="7" max="7" width="27.98046875" customWidth="1"/>
    <col min="8" max="8" width="13.98828125" customWidth="1"/>
  </cols>
  <sheetData>
    <row r="1" spans="1:8" ht="21" x14ac:dyDescent="0.3">
      <c r="A1" s="36" t="s">
        <v>294</v>
      </c>
      <c r="B1" s="29"/>
      <c r="C1" s="29"/>
      <c r="D1" s="29"/>
      <c r="E1" s="29"/>
      <c r="F1" s="29"/>
      <c r="G1" s="29"/>
      <c r="H1" s="29"/>
    </row>
    <row r="2" spans="1:8" x14ac:dyDescent="0.2">
      <c r="A2" s="35" t="s">
        <v>295</v>
      </c>
      <c r="B2" s="29"/>
      <c r="C2" s="29"/>
      <c r="D2" s="29"/>
      <c r="E2" s="29"/>
      <c r="F2" s="29"/>
      <c r="G2" s="29"/>
      <c r="H2" s="29"/>
    </row>
    <row r="4" spans="1:8" x14ac:dyDescent="0.2">
      <c r="A4" s="37" t="s">
        <v>296</v>
      </c>
      <c r="B4" s="31"/>
      <c r="D4" s="37" t="s">
        <v>297</v>
      </c>
      <c r="E4" s="31"/>
    </row>
    <row r="5" spans="1:8" ht="18.75" x14ac:dyDescent="0.2">
      <c r="A5" s="15" t="s">
        <v>298</v>
      </c>
      <c r="B5" s="16">
        <f>COUNTA('CASE CONTROL'!A5:A16)</f>
        <v>12</v>
      </c>
      <c r="D5" s="17" t="s">
        <v>299</v>
      </c>
      <c r="E5" s="17" t="s">
        <v>150</v>
      </c>
    </row>
    <row r="6" spans="1:8" ht="18.75" x14ac:dyDescent="0.2">
      <c r="A6" s="15" t="s">
        <v>300</v>
      </c>
      <c r="B6" s="18">
        <f>COUNTIF('CASE CONTROL'!P5:P16,"Open")</f>
        <v>5</v>
      </c>
      <c r="D6" s="19" t="s">
        <v>55</v>
      </c>
      <c r="E6" s="20">
        <f>COUNTIFS('CASE CONTROL'!C5:C16,D6,'CASE CONTROL'!P5:P16,"&lt;&gt;Closed")</f>
        <v>1</v>
      </c>
    </row>
    <row r="7" spans="1:8" ht="18.75" x14ac:dyDescent="0.2">
      <c r="A7" s="15" t="s">
        <v>301</v>
      </c>
      <c r="B7" s="16">
        <f>COUNTIF('CASE CONTROL'!P5:P16,"In Progress")</f>
        <v>4</v>
      </c>
      <c r="D7" s="19" t="s">
        <v>62</v>
      </c>
      <c r="E7" s="20">
        <f>COUNTIFS('CASE CONTROL'!C5:C16,D7,'CASE CONTROL'!P5:P16,"&lt;&gt;Closed")</f>
        <v>3</v>
      </c>
    </row>
    <row r="8" spans="1:8" ht="18.75" x14ac:dyDescent="0.2">
      <c r="A8" s="15" t="s">
        <v>302</v>
      </c>
      <c r="B8" s="18">
        <f>COUNTIF('CASE CONTROL'!P5:P16,"Closed")</f>
        <v>3</v>
      </c>
      <c r="D8" s="19" t="s">
        <v>69</v>
      </c>
      <c r="E8" s="20">
        <f>COUNTIFS('CASE CONTROL'!C5:C16,D8,'CASE CONTROL'!P5:P16,"&lt;&gt;Closed")</f>
        <v>2</v>
      </c>
    </row>
    <row r="9" spans="1:8" ht="18.75" x14ac:dyDescent="0.2">
      <c r="A9" s="15" t="s">
        <v>303</v>
      </c>
      <c r="B9" s="16">
        <f>COUNTIF('CASE CONTROL'!N5:N16,"Triggered")</f>
        <v>5</v>
      </c>
      <c r="D9" s="19" t="s">
        <v>76</v>
      </c>
      <c r="E9" s="20">
        <f>COUNTIFS('CASE CONTROL'!C5:C16,D9,'CASE CONTROL'!P5:P16,"&lt;&gt;Closed")</f>
        <v>2</v>
      </c>
    </row>
    <row r="10" spans="1:8" ht="18.75" x14ac:dyDescent="0.2">
      <c r="A10" s="15" t="s">
        <v>304</v>
      </c>
      <c r="B10" s="18">
        <f>COUNTIFS('CASE CONTROL'!H5:H16,"High",'CASE CONTROL'!P5:P16,"&lt;&gt;Closed")</f>
        <v>3</v>
      </c>
      <c r="D10" s="19" t="s">
        <v>83</v>
      </c>
      <c r="E10" s="20">
        <f>COUNTIFS('CASE CONTROL'!C5:C16,D10,'CASE CONTROL'!P5:P16,"&lt;&gt;Closed")</f>
        <v>1</v>
      </c>
    </row>
    <row r="11" spans="1:8" ht="18.75" x14ac:dyDescent="0.2">
      <c r="A11" s="15" t="s">
        <v>305</v>
      </c>
      <c r="B11" s="16">
        <f ca="1">COUNTIFS('CASE CONTROL'!K5:K16,"&lt;"&amp;TODAY(),'CASE CONTROL'!K5:K16,"&lt;&gt;",'CASE CONTROL'!P5:P16,"&lt;&gt;Closed")</f>
        <v>9</v>
      </c>
      <c r="D11" s="19" t="s">
        <v>97</v>
      </c>
      <c r="E11" s="20">
        <f>COUNTIFS('CASE CONTROL'!C5:C16,D11,'CASE CONTROL'!P5:P16,"&lt;&gt;Closed")</f>
        <v>0</v>
      </c>
    </row>
  </sheetData>
  <mergeCells count="4">
    <mergeCell ref="A4:B4"/>
    <mergeCell ref="A2:H2"/>
    <mergeCell ref="D4:E4"/>
    <mergeCell ref="A1:H1"/>
  </mergeCells>
  <pageMargins left="0.75" right="0.75" top="1" bottom="1" header="0.5" footer="0.5"/>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8200"/>
    <pageSetUpPr fitToPage="1"/>
  </sheetPr>
  <dimension ref="A1:B14"/>
  <sheetViews>
    <sheetView workbookViewId="0">
      <pane ySplit="4" topLeftCell="A5" activePane="bottomLeft" state="frozen"/>
      <selection pane="bottomLeft"/>
    </sheetView>
  </sheetViews>
  <sheetFormatPr defaultRowHeight="15" x14ac:dyDescent="0.2"/>
  <cols>
    <col min="1" max="1" width="27.98046875" customWidth="1"/>
    <col min="2" max="2" width="69.94921875" customWidth="1"/>
  </cols>
  <sheetData>
    <row r="1" spans="1:2" ht="21" x14ac:dyDescent="0.3">
      <c r="A1" s="36" t="s">
        <v>306</v>
      </c>
      <c r="B1" s="29"/>
    </row>
    <row r="2" spans="1:2" x14ac:dyDescent="0.2">
      <c r="A2" s="35" t="s">
        <v>307</v>
      </c>
      <c r="B2" s="29"/>
    </row>
    <row r="4" spans="1:2" x14ac:dyDescent="0.2">
      <c r="A4" s="8" t="s">
        <v>308</v>
      </c>
      <c r="B4" s="8" t="s">
        <v>309</v>
      </c>
    </row>
    <row r="5" spans="1:2" ht="39.950000000000003" customHeight="1" x14ac:dyDescent="0.2">
      <c r="A5" s="21" t="s">
        <v>310</v>
      </c>
      <c r="B5" s="22" t="s">
        <v>311</v>
      </c>
    </row>
    <row r="6" spans="1:2" ht="39.950000000000003" customHeight="1" x14ac:dyDescent="0.2">
      <c r="A6" s="23" t="s">
        <v>55</v>
      </c>
      <c r="B6" s="24" t="s">
        <v>312</v>
      </c>
    </row>
    <row r="7" spans="1:2" ht="39.950000000000003" customHeight="1" x14ac:dyDescent="0.2">
      <c r="A7" s="21" t="s">
        <v>247</v>
      </c>
      <c r="B7" s="22" t="s">
        <v>313</v>
      </c>
    </row>
    <row r="8" spans="1:2" ht="39.950000000000003" customHeight="1" x14ac:dyDescent="0.2">
      <c r="A8" s="23" t="s">
        <v>314</v>
      </c>
      <c r="B8" s="24" t="s">
        <v>315</v>
      </c>
    </row>
    <row r="9" spans="1:2" ht="39.950000000000003" customHeight="1" x14ac:dyDescent="0.2">
      <c r="A9" s="21" t="s">
        <v>316</v>
      </c>
      <c r="B9" s="22" t="s">
        <v>317</v>
      </c>
    </row>
    <row r="10" spans="1:2" ht="39.950000000000003" customHeight="1" x14ac:dyDescent="0.2">
      <c r="A10" s="23" t="s">
        <v>90</v>
      </c>
      <c r="B10" s="24" t="s">
        <v>318</v>
      </c>
    </row>
    <row r="11" spans="1:2" ht="39.950000000000003" customHeight="1" x14ac:dyDescent="0.2">
      <c r="A11" s="21" t="s">
        <v>319</v>
      </c>
      <c r="B11" s="22" t="s">
        <v>320</v>
      </c>
    </row>
    <row r="12" spans="1:2" ht="39.950000000000003" customHeight="1" x14ac:dyDescent="0.2">
      <c r="A12" s="23" t="s">
        <v>321</v>
      </c>
      <c r="B12" s="24" t="s">
        <v>322</v>
      </c>
    </row>
    <row r="13" spans="1:2" ht="39.950000000000003" customHeight="1" x14ac:dyDescent="0.2">
      <c r="A13" s="21" t="s">
        <v>323</v>
      </c>
      <c r="B13" s="22" t="s">
        <v>324</v>
      </c>
    </row>
    <row r="14" spans="1:2" ht="39.950000000000003" customHeight="1" x14ac:dyDescent="0.2">
      <c r="A14" s="23" t="s">
        <v>325</v>
      </c>
      <c r="B14" s="24" t="s">
        <v>326</v>
      </c>
    </row>
  </sheetData>
  <mergeCells count="2">
    <mergeCell ref="A2:B2"/>
    <mergeCell ref="A1:B1"/>
  </mergeCells>
  <pageMargins left="0.75" right="0.75" top="1" bottom="1" header="0.5" footer="0.5"/>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8200"/>
    <pageSetUpPr fitToPage="1"/>
  </sheetPr>
  <dimension ref="A1:D19"/>
  <sheetViews>
    <sheetView workbookViewId="0"/>
  </sheetViews>
  <sheetFormatPr defaultRowHeight="15" x14ac:dyDescent="0.2"/>
  <cols>
    <col min="1" max="1" width="23.9453125" customWidth="1"/>
    <col min="2" max="2" width="48.0234375" customWidth="1"/>
    <col min="3" max="3" width="41.96875" customWidth="1"/>
    <col min="4" max="4" width="52.05859375" customWidth="1"/>
  </cols>
  <sheetData>
    <row r="1" spans="1:4" ht="21" x14ac:dyDescent="0.3">
      <c r="A1" s="36" t="s">
        <v>327</v>
      </c>
      <c r="B1" s="29"/>
      <c r="C1" s="29"/>
      <c r="D1" s="29"/>
    </row>
    <row r="2" spans="1:4" x14ac:dyDescent="0.2">
      <c r="A2" s="35" t="s">
        <v>328</v>
      </c>
      <c r="B2" s="29"/>
      <c r="C2" s="29"/>
      <c r="D2" s="29"/>
    </row>
    <row r="4" spans="1:4" x14ac:dyDescent="0.2">
      <c r="A4" s="8" t="s">
        <v>329</v>
      </c>
      <c r="B4" s="8" t="s">
        <v>330</v>
      </c>
      <c r="C4" s="8" t="s">
        <v>331</v>
      </c>
      <c r="D4" s="8" t="s">
        <v>332</v>
      </c>
    </row>
    <row r="5" spans="1:4" ht="56.1" customHeight="1" x14ac:dyDescent="0.2">
      <c r="A5" s="22" t="s">
        <v>333</v>
      </c>
      <c r="B5" s="22" t="s">
        <v>334</v>
      </c>
      <c r="C5" s="22" t="s">
        <v>335</v>
      </c>
      <c r="D5" s="22" t="s">
        <v>336</v>
      </c>
    </row>
    <row r="6" spans="1:4" ht="56.1" customHeight="1" x14ac:dyDescent="0.2">
      <c r="A6" s="24" t="s">
        <v>337</v>
      </c>
      <c r="B6" s="24" t="s">
        <v>338</v>
      </c>
      <c r="C6" s="24" t="s">
        <v>339</v>
      </c>
      <c r="D6" s="24" t="s">
        <v>340</v>
      </c>
    </row>
    <row r="7" spans="1:4" ht="56.1" customHeight="1" x14ac:dyDescent="0.2">
      <c r="A7" s="22" t="s">
        <v>341</v>
      </c>
      <c r="B7" s="22" t="s">
        <v>342</v>
      </c>
      <c r="C7" s="22" t="s">
        <v>343</v>
      </c>
      <c r="D7" s="22" t="s">
        <v>344</v>
      </c>
    </row>
    <row r="8" spans="1:4" ht="56.1" customHeight="1" x14ac:dyDescent="0.2">
      <c r="A8" s="24" t="s">
        <v>345</v>
      </c>
      <c r="B8" s="24" t="s">
        <v>346</v>
      </c>
      <c r="C8" s="24" t="s">
        <v>347</v>
      </c>
      <c r="D8" s="24" t="s">
        <v>348</v>
      </c>
    </row>
    <row r="9" spans="1:4" ht="56.1" customHeight="1" x14ac:dyDescent="0.2">
      <c r="A9" s="22" t="s">
        <v>349</v>
      </c>
      <c r="B9" s="22" t="s">
        <v>350</v>
      </c>
      <c r="C9" s="22" t="s">
        <v>351</v>
      </c>
      <c r="D9" s="22" t="s">
        <v>352</v>
      </c>
    </row>
    <row r="10" spans="1:4" ht="56.1" customHeight="1" x14ac:dyDescent="0.2">
      <c r="A10" s="24" t="s">
        <v>353</v>
      </c>
      <c r="B10" s="24" t="s">
        <v>354</v>
      </c>
      <c r="C10" s="24" t="s">
        <v>355</v>
      </c>
      <c r="D10" s="24" t="s">
        <v>356</v>
      </c>
    </row>
    <row r="12" spans="1:4" x14ac:dyDescent="0.2">
      <c r="A12" s="37" t="s">
        <v>357</v>
      </c>
      <c r="B12" s="31"/>
      <c r="C12" s="31"/>
      <c r="D12" s="31"/>
    </row>
    <row r="13" spans="1:4" ht="39.950000000000003" customHeight="1" x14ac:dyDescent="0.2">
      <c r="A13" s="27" t="s">
        <v>358</v>
      </c>
      <c r="B13" s="29"/>
      <c r="C13" s="29"/>
      <c r="D13" s="29"/>
    </row>
    <row r="15" spans="1:4" x14ac:dyDescent="0.2">
      <c r="A15" s="37" t="s">
        <v>359</v>
      </c>
      <c r="B15" s="31"/>
      <c r="C15" s="31"/>
      <c r="D15" s="31"/>
    </row>
    <row r="16" spans="1:4" ht="60" customHeight="1" x14ac:dyDescent="0.2">
      <c r="A16" s="27" t="s">
        <v>360</v>
      </c>
      <c r="B16" s="29"/>
      <c r="C16" s="29"/>
      <c r="D16" s="29"/>
    </row>
    <row r="18" spans="1:4" x14ac:dyDescent="0.2">
      <c r="A18" s="37" t="s">
        <v>361</v>
      </c>
      <c r="B18" s="31"/>
      <c r="C18" s="31"/>
      <c r="D18" s="31"/>
    </row>
    <row r="19" spans="1:4" ht="39.950000000000003" customHeight="1" x14ac:dyDescent="0.2">
      <c r="A19" s="27" t="s">
        <v>362</v>
      </c>
      <c r="B19" s="29"/>
      <c r="C19" s="29"/>
      <c r="D19" s="29"/>
    </row>
  </sheetData>
  <mergeCells count="8">
    <mergeCell ref="A19:D19"/>
    <mergeCell ref="A13:D13"/>
    <mergeCell ref="A1:D1"/>
    <mergeCell ref="A18:D18"/>
    <mergeCell ref="A12:D12"/>
    <mergeCell ref="A15:D15"/>
    <mergeCell ref="A2:D2"/>
    <mergeCell ref="A16:D16"/>
  </mergeCell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Worksheets</vt:lpstr>
      </vt:variant>
      <vt:variant>
        <vt:i4>8</vt:i4>
      </vt:variant>
    </vt:vector>
  </HeadingPairs>
  <TitlesOfParts>
    <vt:vector size="8" baseType="lpstr">
      <vt:lpstr>START HERE</vt:lpstr>
      <vt:lpstr>WORKFLOW MAP</vt:lpstr>
      <vt:lpstr>CASE CONTROL</vt:lpstr>
      <vt:lpstr>ACCURACY CONTROLS</vt:lpstr>
      <vt:lpstr>RISK MATRIX</vt:lpstr>
      <vt:lpstr>DASHBOARD</vt:lpstr>
      <vt:lpstr>GLOSSARY</vt:lpstr>
      <vt:lpstr>EVIDENCE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2026-10-23T10:21:02Z</dcterms:created>
  <dcterms:modified xsi:type="dcterms:W3CDTF">2026-10-23T10:26:49Z</dcterms:modified>
</cp:coreProperties>
</file>